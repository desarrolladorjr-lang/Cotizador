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esus\Downloads\"/>
    </mc:Choice>
  </mc:AlternateContent>
  <xr:revisionPtr revIDLastSave="0" documentId="13_ncr:1_{C770498F-D313-465B-9320-3583745B621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RDEN DE COMPRA" sheetId="5" r:id="rId1"/>
    <sheet name="OC" sheetId="6" r:id="rId2"/>
    <sheet name="CONCEPTOS" sheetId="4" r:id="rId3"/>
    <sheet name="Pesos" sheetId="3" r:id="rId4"/>
  </sheets>
  <externalReferences>
    <externalReference r:id="rId5"/>
  </externalReferences>
  <definedNames>
    <definedName name="_xlnm.Print_Area" localSheetId="1">OC!$B$1:$I$45</definedName>
    <definedName name="_xlnm.Print_Area" localSheetId="0">'ORDEN DE COMPRA'!$B$1:$I$55</definedName>
    <definedName name="_xlnm.Print_Area" localSheetId="3">Pesos!$A$8:$E$43</definedName>
    <definedName name="auxtable" localSheetId="3">Pesos!$L$17:$M$36</definedName>
    <definedName name="_xlnm.Database" localSheetId="2">#REF!</definedName>
    <definedName name="_xlnm.Database">#REF!</definedName>
    <definedName name="MASTERTABLE" localSheetId="3">Pesos!$B$17:$I$40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5" l="1"/>
  <c r="H3" i="5"/>
  <c r="C21" i="5"/>
  <c r="P2" i="5" l="1"/>
  <c r="H34" i="5" l="1"/>
  <c r="H33" i="5"/>
  <c r="H32" i="5"/>
  <c r="H31" i="5"/>
  <c r="H30" i="5"/>
  <c r="H29" i="5"/>
  <c r="H28" i="5"/>
  <c r="H27" i="5"/>
  <c r="H26" i="5"/>
  <c r="Q1" i="5" l="1"/>
  <c r="O34" i="5" l="1"/>
  <c r="N34" i="5"/>
  <c r="O33" i="5"/>
  <c r="N33" i="5"/>
  <c r="O32" i="5"/>
  <c r="N32" i="5"/>
  <c r="O31" i="5"/>
  <c r="N31" i="5"/>
  <c r="O30" i="5"/>
  <c r="N30" i="5"/>
  <c r="O29" i="5"/>
  <c r="N29" i="5"/>
  <c r="O28" i="5"/>
  <c r="N28" i="5"/>
  <c r="O27" i="5"/>
  <c r="N27" i="5"/>
  <c r="O26" i="5"/>
  <c r="N26" i="5"/>
  <c r="O25" i="5"/>
  <c r="N25" i="5"/>
  <c r="O24" i="5"/>
  <c r="N24" i="5"/>
  <c r="O23" i="5"/>
  <c r="N23" i="5"/>
  <c r="O22" i="5"/>
  <c r="N22" i="5"/>
  <c r="O21" i="5"/>
  <c r="N21" i="5"/>
  <c r="M34" i="5"/>
  <c r="Q34" i="5" s="1"/>
  <c r="M33" i="5"/>
  <c r="Q33" i="5" s="1"/>
  <c r="M32" i="5"/>
  <c r="Q32" i="5" s="1"/>
  <c r="M31" i="5"/>
  <c r="Q31" i="5" s="1"/>
  <c r="M30" i="5"/>
  <c r="Q30" i="5" s="1"/>
  <c r="M29" i="5"/>
  <c r="Q29" i="5" s="1"/>
  <c r="M28" i="5"/>
  <c r="Q28" i="5" s="1"/>
  <c r="M27" i="5"/>
  <c r="Q27" i="5" s="1"/>
  <c r="M26" i="5"/>
  <c r="Q26" i="5" s="1"/>
  <c r="M25" i="5"/>
  <c r="M24" i="5"/>
  <c r="M23" i="5"/>
  <c r="M22" i="5"/>
  <c r="M21" i="5"/>
  <c r="P10" i="5"/>
  <c r="P42" i="5" s="1"/>
  <c r="L7" i="5"/>
  <c r="L6" i="5"/>
  <c r="L5" i="5"/>
  <c r="L42" i="5"/>
  <c r="Q37" i="5"/>
  <c r="P6" i="5"/>
  <c r="P7" i="5" s="1"/>
  <c r="O6" i="5"/>
  <c r="O7" i="5" s="1"/>
  <c r="N6" i="5"/>
  <c r="N7" i="5" s="1"/>
  <c r="M6" i="5"/>
  <c r="M7" i="5" s="1"/>
  <c r="Q3" i="5"/>
  <c r="H1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34" i="5"/>
  <c r="P34" i="5" s="1"/>
  <c r="G33" i="5"/>
  <c r="P33" i="5" s="1"/>
  <c r="G32" i="5"/>
  <c r="P32" i="5" s="1"/>
  <c r="G31" i="5"/>
  <c r="P31" i="5" s="1"/>
  <c r="G30" i="5"/>
  <c r="P30" i="5" s="1"/>
  <c r="G29" i="5"/>
  <c r="P29" i="5" s="1"/>
  <c r="G28" i="5"/>
  <c r="P28" i="5" s="1"/>
  <c r="G27" i="5"/>
  <c r="P27" i="5" s="1"/>
  <c r="G26" i="5"/>
  <c r="P26" i="5" s="1"/>
  <c r="G25" i="5"/>
  <c r="G24" i="5"/>
  <c r="G23" i="5"/>
  <c r="G21" i="5"/>
  <c r="G42" i="5"/>
  <c r="C42" i="5"/>
  <c r="G2" i="6"/>
  <c r="G1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E16" i="6"/>
  <c r="D16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G5" i="6"/>
  <c r="H18" i="6" l="1"/>
  <c r="H19" i="6"/>
  <c r="H17" i="6"/>
  <c r="H20" i="6"/>
  <c r="P24" i="5"/>
  <c r="Q24" i="5" s="1"/>
  <c r="H24" i="5"/>
  <c r="P25" i="5"/>
  <c r="Q25" i="5" s="1"/>
  <c r="H25" i="5"/>
  <c r="P23" i="5"/>
  <c r="Q23" i="5" s="1"/>
  <c r="H23" i="5"/>
  <c r="M35" i="5"/>
  <c r="H22" i="5"/>
  <c r="P22" i="5"/>
  <c r="Q22" i="5" s="1"/>
  <c r="H21" i="5"/>
  <c r="P21" i="5"/>
  <c r="Q21" i="5" s="1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7" i="5"/>
  <c r="C6" i="5"/>
  <c r="C5" i="5"/>
  <c r="G6" i="5"/>
  <c r="G7" i="5" s="1"/>
  <c r="F6" i="5"/>
  <c r="F7" i="5" s="1"/>
  <c r="E6" i="5"/>
  <c r="E7" i="5" s="1"/>
  <c r="D6" i="5"/>
  <c r="D7" i="5" s="1"/>
  <c r="Q35" i="5" l="1"/>
  <c r="Q36" i="5" s="1"/>
  <c r="Q38" i="5" s="1"/>
  <c r="C21" i="6"/>
  <c r="L26" i="5"/>
  <c r="C22" i="6"/>
  <c r="L27" i="5"/>
  <c r="C23" i="6"/>
  <c r="L28" i="5"/>
  <c r="C24" i="6"/>
  <c r="L29" i="5"/>
  <c r="C25" i="6"/>
  <c r="L30" i="5"/>
  <c r="C26" i="6"/>
  <c r="L31" i="5"/>
  <c r="C27" i="6"/>
  <c r="L32" i="5"/>
  <c r="C28" i="6"/>
  <c r="L33" i="5"/>
  <c r="C29" i="6"/>
  <c r="L34" i="5"/>
  <c r="C18" i="6"/>
  <c r="L23" i="5"/>
  <c r="C16" i="6"/>
  <c r="L21" i="5"/>
  <c r="C19" i="6"/>
  <c r="L24" i="5"/>
  <c r="C20" i="6"/>
  <c r="L25" i="5"/>
  <c r="C17" i="6"/>
  <c r="L22" i="5"/>
  <c r="D30" i="6"/>
  <c r="M22" i="6"/>
  <c r="M16" i="6"/>
  <c r="H16" i="6"/>
  <c r="H30" i="6" s="1"/>
  <c r="H33" i="6" s="1"/>
  <c r="M14" i="6"/>
  <c r="H3" i="6"/>
  <c r="L40" i="5" a="1"/>
  <c r="L40" i="5" l="1"/>
  <c r="D35" i="5"/>
  <c r="H35" i="5" l="1"/>
  <c r="H36" i="5" l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H37" i="5" l="1"/>
  <c r="H38" i="5" s="1"/>
  <c r="C40" i="5" a="1"/>
  <c r="C40" i="5" l="1"/>
  <c r="C3" i="3"/>
  <c r="G14" i="3" s="1"/>
  <c r="S38" i="5"/>
  <c r="C10" i="3" l="1"/>
  <c r="C11" i="3" s="1"/>
  <c r="C13" i="3" s="1"/>
  <c r="D9" i="3" l="1"/>
  <c r="D10" i="3" s="1"/>
  <c r="D11" i="3" s="1"/>
  <c r="E9" i="3" l="1"/>
  <c r="E10" i="3" s="1"/>
  <c r="E11" i="3" s="1"/>
  <c r="F9" i="3" l="1"/>
  <c r="F10" i="3" s="1"/>
  <c r="F11" i="3" s="1"/>
  <c r="G9" i="3" l="1"/>
  <c r="G10" i="3" s="1"/>
  <c r="G11" i="3" s="1"/>
  <c r="G13" i="3" s="1"/>
  <c r="D13" i="3"/>
  <c r="D14" i="3"/>
  <c r="F13" i="3"/>
  <c r="D15" i="3"/>
  <c r="H9" i="3" l="1"/>
  <c r="E15" i="3" l="1"/>
  <c r="E13" i="3" s="1"/>
  <c r="H10" i="3"/>
  <c r="H11" i="3" s="1"/>
  <c r="H12" i="3" l="1"/>
  <c r="H13" i="3" s="1"/>
  <c r="I14" i="3"/>
  <c r="I9" i="3"/>
  <c r="I10" i="3" l="1"/>
  <c r="I11" i="3" s="1"/>
  <c r="I13" i="3" l="1"/>
  <c r="I15" i="3"/>
  <c r="E14" i="3"/>
  <c r="H14" i="3"/>
  <c r="J9" i="3"/>
  <c r="J10" i="3" s="1"/>
  <c r="J11" i="3" s="1"/>
  <c r="J12" i="3" s="1"/>
  <c r="C4" i="3" l="1"/>
  <c r="C35" i="6" l="1"/>
  <c r="C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<sst xmlns="http://schemas.openxmlformats.org/spreadsheetml/2006/main" count="401" uniqueCount="269">
  <si>
    <t>ORDEN DE COMPRA</t>
  </si>
  <si>
    <t>FECHA:</t>
  </si>
  <si>
    <t>CLAVE SAT</t>
  </si>
  <si>
    <t>CANTIDAD</t>
  </si>
  <si>
    <t>TOTAL</t>
  </si>
  <si>
    <t>RESULTADO</t>
  </si>
  <si>
    <t>CENTENA</t>
  </si>
  <si>
    <t>DECENA</t>
  </si>
  <si>
    <t>UNIDAD</t>
  </si>
  <si>
    <t>CENTAVOS</t>
  </si>
  <si>
    <t>MILLONES</t>
  </si>
  <si>
    <t>DE MILLAR</t>
  </si>
  <si>
    <t>CENTENAS</t>
  </si>
  <si>
    <t>DECENAS</t>
  </si>
  <si>
    <t>UNIDADES</t>
  </si>
  <si>
    <t>UN MILLON</t>
  </si>
  <si>
    <t>CIENTO</t>
  </si>
  <si>
    <t>DIEZ</t>
  </si>
  <si>
    <t>UN</t>
  </si>
  <si>
    <t>DOS MILLONES</t>
  </si>
  <si>
    <t>DOSCIENTOS</t>
  </si>
  <si>
    <t>VEINTE</t>
  </si>
  <si>
    <t>DOS</t>
  </si>
  <si>
    <t>ONCE</t>
  </si>
  <si>
    <t>TRES MILLONES</t>
  </si>
  <si>
    <t>TRESCIENTOS</t>
  </si>
  <si>
    <t>TREINTA</t>
  </si>
  <si>
    <t>TRES</t>
  </si>
  <si>
    <t>DOCE</t>
  </si>
  <si>
    <t>CUATRO MILLONES</t>
  </si>
  <si>
    <t>CUATROCIENTOS</t>
  </si>
  <si>
    <t>CUARENTA</t>
  </si>
  <si>
    <t>CUATRO</t>
  </si>
  <si>
    <t>TRECE</t>
  </si>
  <si>
    <t>CINCO MILLONES</t>
  </si>
  <si>
    <t>QUINIENTOS</t>
  </si>
  <si>
    <t>CINCUENTA</t>
  </si>
  <si>
    <t>CINCO</t>
  </si>
  <si>
    <t>CATORCE</t>
  </si>
  <si>
    <t>SEIS MILLONES</t>
  </si>
  <si>
    <t>SEISCIENTOS</t>
  </si>
  <si>
    <t>SESENTA</t>
  </si>
  <si>
    <t>SEIS</t>
  </si>
  <si>
    <t>QUINCE</t>
  </si>
  <si>
    <t>SIETE MILLONES</t>
  </si>
  <si>
    <t>SETECIENTOS</t>
  </si>
  <si>
    <t>SETENTA</t>
  </si>
  <si>
    <t>SIETE</t>
  </si>
  <si>
    <t>DIECISEIS</t>
  </si>
  <si>
    <t>OCHO MILLONES</t>
  </si>
  <si>
    <t>OCHOCIENTOS</t>
  </si>
  <si>
    <t>OCHENTA</t>
  </si>
  <si>
    <t>OCHO</t>
  </si>
  <si>
    <t>DIECISIETE</t>
  </si>
  <si>
    <t>NUEVE MILLONES</t>
  </si>
  <si>
    <t>NOVECIENTOS</t>
  </si>
  <si>
    <t>NOVENTA</t>
  </si>
  <si>
    <t>NUEVE</t>
  </si>
  <si>
    <t>DIECIOCHO</t>
  </si>
  <si>
    <t>DIEZ MILLONES</t>
  </si>
  <si>
    <t>DIECINUEVE</t>
  </si>
  <si>
    <t>ONCE MILLONES</t>
  </si>
  <si>
    <t>DOCE MILLONES</t>
  </si>
  <si>
    <t>VEINTIUN</t>
  </si>
  <si>
    <t>TRECE MILLONES</t>
  </si>
  <si>
    <t>VEINTIDOS</t>
  </si>
  <si>
    <t>CATORCE MILLONES</t>
  </si>
  <si>
    <t>VEINTITRES</t>
  </si>
  <si>
    <t>QUINCE MILLONES</t>
  </si>
  <si>
    <t>VEINTICUATRO</t>
  </si>
  <si>
    <t>VEINTICINCO</t>
  </si>
  <si>
    <t>VEINTISEIS</t>
  </si>
  <si>
    <t>VEINTISIETE</t>
  </si>
  <si>
    <t>VEINTIOCHO</t>
  </si>
  <si>
    <t>VEINTINUEVE</t>
  </si>
  <si>
    <t>IMPORTE EN LETRAS SON:</t>
  </si>
  <si>
    <t>EMITIDO PARA:</t>
  </si>
  <si>
    <t>PRECIO UNITARIO</t>
  </si>
  <si>
    <t>PAGO:</t>
  </si>
  <si>
    <t>*FACTURA COMERCIAL.</t>
  </si>
  <si>
    <t>*TICKETS DE PESO</t>
  </si>
  <si>
    <t>CONTRA RECEPCIÓN DE DOCUMENTOS</t>
  </si>
  <si>
    <t>FIRMA COMPRADOR</t>
  </si>
  <si>
    <t>___________________________</t>
  </si>
  <si>
    <t>FIRMA VENDEDOR</t>
  </si>
  <si>
    <t>IVA 16%</t>
  </si>
  <si>
    <t>IVA RET.</t>
  </si>
  <si>
    <t xml:space="preserve">CONCEPTO </t>
  </si>
  <si>
    <t>ACERO 304</t>
  </si>
  <si>
    <t>ACERO 316</t>
  </si>
  <si>
    <t>ACERO HK</t>
  </si>
  <si>
    <t>ALEACION ALUMINIO DELGADO</t>
  </si>
  <si>
    <t>ALEACION ALUMINIO LITOGRAFIA</t>
  </si>
  <si>
    <t>ALEACION ALUMINIO TUBO</t>
  </si>
  <si>
    <t>ALUIMINIO BLANDO</t>
  </si>
  <si>
    <t>ALUMINIO 1100 SPRAY</t>
  </si>
  <si>
    <t>ALUMINIO 1100 TRASTE</t>
  </si>
  <si>
    <t>ALUMINIO BLANDO</t>
  </si>
  <si>
    <t>ALUMINIO BOTE</t>
  </si>
  <si>
    <t>ALUMINIO CABLE</t>
  </si>
  <si>
    <t>ALUMINIO MACIZO</t>
  </si>
  <si>
    <t>ALUMINIO MACIZO SUCIO</t>
  </si>
  <si>
    <t>ALUMINIO PERFIL C/ PINTURA</t>
  </si>
  <si>
    <t>ALUMINIO PERIL S/ PINTURA</t>
  </si>
  <si>
    <t>ALUMINIO RIN CHICO</t>
  </si>
  <si>
    <t>ALUMINIO SUCIO</t>
  </si>
  <si>
    <t>ALUMINIO TUBO</t>
  </si>
  <si>
    <t>ANTIMONIO</t>
  </si>
  <si>
    <t>BRONCE AMARILLO LIMPIO</t>
  </si>
  <si>
    <t>BRONCE AMARILLO SUCIO</t>
  </si>
  <si>
    <t>BRONCE LATON 75/25</t>
  </si>
  <si>
    <t>BRONCE MANGANESO</t>
  </si>
  <si>
    <t>BRONCE REBABA MIXTA AMARILLO</t>
  </si>
  <si>
    <t>BRONCE ROJO</t>
  </si>
  <si>
    <t>COBRE BRILLOSO 1</t>
  </si>
  <si>
    <t>COBRE CANDY PLACA</t>
  </si>
  <si>
    <t>COBRE CANDY TUBO</t>
  </si>
  <si>
    <t>COBRE CANDY TUBO Y PLACA</t>
  </si>
  <si>
    <t>COBRE ESTAÑADO</t>
  </si>
  <si>
    <t>COBRE PRIMERA</t>
  </si>
  <si>
    <t>COBRE SEGUNDA</t>
  </si>
  <si>
    <t>CUPRONIQUEL 90/10 TUBERIA</t>
  </si>
  <si>
    <t>MONEDA CUPRONIQUEL 75/25</t>
  </si>
  <si>
    <t>MONO DE ZINC</t>
  </si>
  <si>
    <t>PISTON</t>
  </si>
  <si>
    <t>PLOMO</t>
  </si>
  <si>
    <t>RABABA ALUMINIO</t>
  </si>
  <si>
    <t>RADIADOR ALUMINIO ALUMINIO</t>
  </si>
  <si>
    <t>RADIADOR ALUMINIO COBRE</t>
  </si>
  <si>
    <t>RADIADOR COBRE BRONCE</t>
  </si>
  <si>
    <t>RADIADOR COBRE BRONCE PEQUEÑO</t>
  </si>
  <si>
    <t>ESCORIA DE COBRE</t>
  </si>
  <si>
    <t>ALUMINIO RIN GRANDE</t>
  </si>
  <si>
    <t>COBRE BRILLOSO</t>
  </si>
  <si>
    <t>FORMA DE PAGO:</t>
  </si>
  <si>
    <t>CONDICIONES DE PAGO:</t>
  </si>
  <si>
    <t>05: Monedero electrónico</t>
  </si>
  <si>
    <t>06: Dinero electrónico</t>
  </si>
  <si>
    <t>08: Vales de despensa</t>
  </si>
  <si>
    <t>12: Dación en pago</t>
  </si>
  <si>
    <t>13: Pago por subrogación</t>
  </si>
  <si>
    <t>14: Pago por consignación</t>
  </si>
  <si>
    <t>15: Condonación</t>
  </si>
  <si>
    <t>17: Compensación</t>
  </si>
  <si>
    <t>23: Novación</t>
  </si>
  <si>
    <t>24: Confusión</t>
  </si>
  <si>
    <t>25: Remisión de deuda</t>
  </si>
  <si>
    <t>26: Prescripción o caducidad</t>
  </si>
  <si>
    <t xml:space="preserve">FORMAS DE PAGO </t>
  </si>
  <si>
    <t>01-EFECTIVO</t>
  </si>
  <si>
    <t>02-CHEQUE NOMINATIVO</t>
  </si>
  <si>
    <t>04-TARJETA DE CREDITO</t>
  </si>
  <si>
    <t>99-POR DEFINIR</t>
  </si>
  <si>
    <t>30-APLICACIÓN DE ANTICIPO</t>
  </si>
  <si>
    <t>29-TARJETA DE SERVICIOS</t>
  </si>
  <si>
    <t>28-TARJETA DE DEBITO</t>
  </si>
  <si>
    <t>27-A SATISFACCION DEL ACREEDOR</t>
  </si>
  <si>
    <t xml:space="preserve">PUE </t>
  </si>
  <si>
    <t>PPD</t>
  </si>
  <si>
    <t xml:space="preserve">CONTADO </t>
  </si>
  <si>
    <t>CREDITO</t>
  </si>
  <si>
    <t>METODO DE PAGO:</t>
  </si>
  <si>
    <t>FOIL</t>
  </si>
  <si>
    <t xml:space="preserve">*EN LAS ORDENES DE COMPRA SIEMPRE SERAN 1.00 ABAJO DEL PRECIO DE LA FACTURA ORIGINAL </t>
  </si>
  <si>
    <t>DESCRIPCION</t>
  </si>
  <si>
    <t xml:space="preserve"> </t>
  </si>
  <si>
    <t>SE TOMARA COMO PESO FINAL EL QUE RESULTE AL MOMENTO QUE EL CLIENTE RECIBA EL MISMO.</t>
  </si>
  <si>
    <t>SALDO EN KILOS DE LA ESCORIA EXPORTACION</t>
  </si>
  <si>
    <t>MONEX</t>
  </si>
  <si>
    <t>FALTARIAN POR CUBRIR</t>
  </si>
  <si>
    <t>KGM</t>
  </si>
  <si>
    <t>METODOS DE PAGO</t>
  </si>
  <si>
    <t>RECOLECCIÓN: RECOGIDO EN PLANTA</t>
  </si>
  <si>
    <t>EL CLIENTE SE REPONSABILIZA DE LA CALIDAD DEL MATERIAL POR LAS CONDICIONES SOLICITADAS</t>
  </si>
  <si>
    <t>EL VENDEDOR CORRE CON LOS GASTOS DE MANIOBRA DE CARGA</t>
  </si>
  <si>
    <t>ALVARO RESENDIZ GALLEGOS</t>
  </si>
  <si>
    <t>REGA5602198E6</t>
  </si>
  <si>
    <t>03-TRANSFERENCIA ELECTRONICA</t>
  </si>
  <si>
    <t>EMISOR</t>
  </si>
  <si>
    <t>RFC</t>
  </si>
  <si>
    <t>DIRECCION</t>
  </si>
  <si>
    <t>RECEPTOR</t>
  </si>
  <si>
    <t>PROVEEDOR</t>
  </si>
  <si>
    <t>REGIMEN</t>
  </si>
  <si>
    <t>P.F. ACT EMP Y PROF</t>
  </si>
  <si>
    <t>LUIS BERNAL</t>
  </si>
  <si>
    <t>HECTOR RESENDIZ GALLEGOS</t>
  </si>
  <si>
    <t>REGH680904C68</t>
  </si>
  <si>
    <t>CALLE 135 TABLAJE 23995 INT. B7 COL. CHICHI SUAREZ, MERIDA, YUCATAN C.P. 97306</t>
  </si>
  <si>
    <t>CESAR DELGADO</t>
  </si>
  <si>
    <t>JORGE GONZALEZ</t>
  </si>
  <si>
    <t>RAZON SOCIAL:</t>
  </si>
  <si>
    <t>ARTURO E. MADRIGAL PORRAS</t>
  </si>
  <si>
    <t>PROVEEDOR :</t>
  </si>
  <si>
    <t>SUBTOTAL</t>
  </si>
  <si>
    <t>PRECIO NETO</t>
  </si>
  <si>
    <t>RETENCION</t>
  </si>
  <si>
    <t>SI</t>
  </si>
  <si>
    <t>NO</t>
  </si>
  <si>
    <t>CARGA</t>
  </si>
  <si>
    <t>EMISOR 2</t>
  </si>
  <si>
    <t>MARGEN</t>
  </si>
  <si>
    <t>LUIS GARCIA</t>
  </si>
  <si>
    <t>RODRIGO CALDERA</t>
  </si>
  <si>
    <t>RECICLADOS DIAZ</t>
  </si>
  <si>
    <t>ALUM MIX 5000-3000</t>
  </si>
  <si>
    <t>ALEATONIC</t>
  </si>
  <si>
    <t>JOSE ALCANTAR</t>
  </si>
  <si>
    <t>ANDREA SABINA CRUZ VALLEJO</t>
  </si>
  <si>
    <t>CUVA980829L80</t>
  </si>
  <si>
    <t xml:space="preserve">CALLE 4TA AV No.517 COL. LAGUNA DE LA PUERTA, CP89310, TAMPICO TAMAULIPAS </t>
  </si>
  <si>
    <t xml:space="preserve">NEGOCIOS LOGISTICOS DEL GOLFO </t>
  </si>
  <si>
    <t>NLG2302151IA</t>
  </si>
  <si>
    <t xml:space="preserve">CALLE 20 No.100 CP. 97305 ENTRE 23 Y 25 COL. CHOLUL, MERIDA, YUCATAN </t>
  </si>
  <si>
    <t>ALUMINIO 5083</t>
  </si>
  <si>
    <t xml:space="preserve">RECICLADOS PERSA </t>
  </si>
  <si>
    <t>COMERCIALIZADORA MEXIPATRIA</t>
  </si>
  <si>
    <t>CME240220C15</t>
  </si>
  <si>
    <t xml:space="preserve">CALLE COLOMOS No.2604 COL. PRODIVENCIA, CP.44630 GUADALAJARA JALISCO </t>
  </si>
  <si>
    <t>SIMPLICADO DE CONFIANZA</t>
  </si>
  <si>
    <t xml:space="preserve">CALLE 22 No109A ENTRE 23 Y 25 CHOLUL, MERIDA, YUCATAN, MEXICO </t>
  </si>
  <si>
    <t xml:space="preserve">TOBY </t>
  </si>
  <si>
    <t>PERFILES Y ALUMINIOS TAMEX</t>
  </si>
  <si>
    <t>RAUL PAZ</t>
  </si>
  <si>
    <t>COLUMBA GUTIERREZ ROJAS</t>
  </si>
  <si>
    <t>ALUMINIO 3003</t>
  </si>
  <si>
    <t>TANIA</t>
  </si>
  <si>
    <t>PACO MARTINEZ</t>
  </si>
  <si>
    <t>MTY</t>
  </si>
  <si>
    <t xml:space="preserve">MEINSUR </t>
  </si>
  <si>
    <t>ALDREDO AGUILERA</t>
  </si>
  <si>
    <t>P.M. REGIMEN GENERAL</t>
  </si>
  <si>
    <t>LIDIA MARICELA UITZ PECH</t>
  </si>
  <si>
    <t>UIPL770304KV5</t>
  </si>
  <si>
    <t>CALLE 18B No.260 COL. ALTABRISA, MERIDA, YUCATAN C.P.97130</t>
  </si>
  <si>
    <t>ANGEL FLORES</t>
  </si>
  <si>
    <t>ALUM 5000 POLI</t>
  </si>
  <si>
    <t>ANDREA PAOLA PALOMO CAMARGO</t>
  </si>
  <si>
    <t>PACA060720JHA</t>
  </si>
  <si>
    <t>CARR. JOSE CLEMENTE OROZCO No. 842 COL.PRIMERO DE MAYO C.P. 78438, SGS, SAN LUIS POTOSI</t>
  </si>
  <si>
    <t>KARLA DANIELA TORRES BANDA</t>
  </si>
  <si>
    <t>TOBK030919DR7</t>
  </si>
  <si>
    <t>CALLE PINTORES No.607 COL.UNIDAD MODELO, TAMPICO, TAMAULIPAS, C.P.89367</t>
  </si>
  <si>
    <t>SERVIN</t>
  </si>
  <si>
    <t>MARIELENA MENDEZ</t>
  </si>
  <si>
    <t>JAVIER VILLARREAL</t>
  </si>
  <si>
    <t>RECMAT</t>
  </si>
  <si>
    <t>ALMA ELENA VELASCO RODRIGUEZ</t>
  </si>
  <si>
    <t>JUANA ISABEL CORONADO RODRIGUEZ</t>
  </si>
  <si>
    <t>ISRAEL ROJAS RIVERO</t>
  </si>
  <si>
    <t>KENNY ISRAEL COLLI CHALE</t>
  </si>
  <si>
    <t>CESAR MANUEL AVILES DOMINGUEZ</t>
  </si>
  <si>
    <t>ELSY GUADALUPE SOSA CHAVEZ</t>
  </si>
  <si>
    <t>CALLE 6 No.370 COL.SAN MARCOS NOCOH, MERIDA, YUCATAN C.P.97296</t>
  </si>
  <si>
    <t>CALLE 28 No.500D COL.ESPERANZA, MERIDA, YUCATAN C.P.97169</t>
  </si>
  <si>
    <t>AIDC780612P9A</t>
  </si>
  <si>
    <t>MARIA MAGDALENA GALLEGOS SALAZAR</t>
  </si>
  <si>
    <t>CELESTE DE LA CRUZ ROJAS RAMIREZ</t>
  </si>
  <si>
    <t>MARTHA CECILIA MARTINEZ MORALES</t>
  </si>
  <si>
    <t>MARIA GPE JUAREZ ALVARADO</t>
  </si>
  <si>
    <t>MAMM7307199H1</t>
  </si>
  <si>
    <t>CALLE BAJA CALIFORNIA No.1 INT.G COL. LOMAS DEL PORVENIR, TIJUANA, B.C. C.P. 22110</t>
  </si>
  <si>
    <t>JUAG970107GYA</t>
  </si>
  <si>
    <t>CALLE NARANJO No.34 COL. VEGA DEL MAYAB, CONKAL, YUCATAN C.P. 97346</t>
  </si>
  <si>
    <t xml:space="preserve">BRYAN CERVANTES </t>
  </si>
  <si>
    <t>LUIS FERNANDO ORNELAS FERNANDEZ</t>
  </si>
  <si>
    <t>OEFL030630F29</t>
  </si>
  <si>
    <t>OC.696/E640</t>
  </si>
  <si>
    <t>E-NN ENTRADA ELY DIRECTO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</si>
</sst>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_ ;[Red]\-#,##0\ "/>
    <numFmt numFmtId="166" formatCode="_(* #,##0_);_(* \(#,##0\);_(* &quot;-&quot;??_);_(@_)"/>
    <numFmt numFmtId="167" formatCode="#,##0.0000"/>
    <numFmt numFmtId="168" formatCode="0.0000"/>
    <numFmt numFmtId="169" formatCode="&quot;$&quot;#,##0.000000"/>
    <numFmt numFmtId="170" formatCode="[$-80A]d&quot; de &quot;mmmm&quot; de &quot;yyyy;@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Adobe Arabic"/>
      <family val="1"/>
    </font>
    <font>
      <b/>
      <sz val="24"/>
      <color theme="1"/>
      <name val="Adobe Arabic"/>
      <family val="1"/>
    </font>
    <font>
      <sz val="10"/>
      <name val="Arial"/>
      <family val="2"/>
    </font>
    <font>
      <sz val="8"/>
      <name val="Franklin Gothic Medium"/>
      <family val="2"/>
    </font>
    <font>
      <b/>
      <sz val="8"/>
      <name val="Franklin Gothic Medium"/>
      <family val="2"/>
    </font>
    <font>
      <sz val="8"/>
      <color indexed="12"/>
      <name val="Franklin Gothic Medium"/>
      <family val="2"/>
    </font>
    <font>
      <sz val="10"/>
      <name val="CG Omega"/>
      <family val="2"/>
    </font>
    <font>
      <sz val="10"/>
      <color indexed="12"/>
      <name val="Franklin Gothic Medium"/>
      <family val="2"/>
    </font>
    <font>
      <b/>
      <sz val="10"/>
      <color indexed="12"/>
      <name val="Franklin Gothic Medium"/>
      <family val="2"/>
    </font>
    <font>
      <b/>
      <sz val="8"/>
      <color indexed="10"/>
      <name val="Franklin Gothic Medium"/>
      <family val="2"/>
    </font>
    <font>
      <b/>
      <sz val="8"/>
      <color indexed="60"/>
      <name val="Franklin Gothic Medium"/>
      <family val="2"/>
    </font>
    <font>
      <b/>
      <sz val="8"/>
      <color indexed="18"/>
      <name val="Franklin Gothic Medium"/>
      <family val="2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name val="Century Gothic"/>
      <family val="2"/>
    </font>
    <font>
      <b/>
      <sz val="20"/>
      <name val="Century Gothic"/>
      <family val="2"/>
    </font>
    <font>
      <sz val="11"/>
      <color theme="1"/>
      <name val="Iskoola Pota"/>
      <family val="2"/>
    </font>
    <font>
      <sz val="16"/>
      <color theme="1"/>
      <name val="Iskoola Pota"/>
      <family val="2"/>
    </font>
    <font>
      <sz val="11"/>
      <color theme="2" tint="-9.9978637043366805E-2"/>
      <name val="Iskoola Pota"/>
      <family val="2"/>
    </font>
    <font>
      <sz val="16"/>
      <color theme="1"/>
      <name val="Goudy Old Style"/>
      <family val="1"/>
    </font>
    <font>
      <b/>
      <sz val="26"/>
      <color theme="0"/>
      <name val="Gadugi"/>
      <family val="2"/>
    </font>
    <font>
      <sz val="16"/>
      <color theme="0"/>
      <name val="Gadugi"/>
      <family val="2"/>
    </font>
    <font>
      <b/>
      <sz val="16"/>
      <color theme="0"/>
      <name val="Gadugi"/>
      <family val="2"/>
    </font>
    <font>
      <sz val="11"/>
      <color theme="1"/>
      <name val="Gadugi"/>
      <family val="2"/>
    </font>
    <font>
      <sz val="16"/>
      <color theme="1"/>
      <name val="Gadugi"/>
      <family val="2"/>
    </font>
    <font>
      <b/>
      <sz val="20"/>
      <name val="Gadugi"/>
      <family val="2"/>
    </font>
    <font>
      <sz val="16"/>
      <color theme="9" tint="-0.499984740745262"/>
      <name val="Gadugi"/>
      <family val="2"/>
    </font>
    <font>
      <sz val="16"/>
      <name val="Gadugi"/>
      <family val="2"/>
    </font>
    <font>
      <b/>
      <sz val="16"/>
      <color theme="9" tint="-0.499984740745262"/>
      <name val="Gadugi"/>
      <family val="2"/>
    </font>
    <font>
      <sz val="14"/>
      <name val="Gadugi"/>
      <family val="2"/>
    </font>
    <font>
      <b/>
      <sz val="16"/>
      <name val="Gadugi"/>
      <family val="2"/>
    </font>
    <font>
      <b/>
      <sz val="16"/>
      <color theme="1"/>
      <name val="Gadugi"/>
      <family val="2"/>
    </font>
    <font>
      <sz val="16"/>
      <color theme="2" tint="-9.9978637043366805E-2"/>
      <name val="Gadugi"/>
      <family val="2"/>
    </font>
    <font>
      <sz val="16"/>
      <color theme="2" tint="-0.249977111117893"/>
      <name val="Gadugi"/>
      <family val="2"/>
    </font>
    <font>
      <i/>
      <sz val="14"/>
      <name val="Gadugi"/>
      <family val="2"/>
    </font>
    <font>
      <b/>
      <sz val="16"/>
      <color theme="1"/>
      <name val="Adobe Arabic"/>
    </font>
    <font>
      <b/>
      <sz val="12"/>
      <color theme="0"/>
      <name val="Gadugi"/>
      <family val="2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8" fillId="0" borderId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76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/>
    <xf numFmtId="0" fontId="5" fillId="0" borderId="0" xfId="2" applyFont="1"/>
    <xf numFmtId="0" fontId="6" fillId="0" borderId="0" xfId="2" applyFont="1"/>
    <xf numFmtId="164" fontId="7" fillId="2" borderId="0" xfId="3" applyFont="1" applyFill="1"/>
    <xf numFmtId="0" fontId="9" fillId="2" borderId="0" xfId="4" applyFont="1" applyFill="1"/>
    <xf numFmtId="0" fontId="5" fillId="2" borderId="0" xfId="2" applyFont="1" applyFill="1"/>
    <xf numFmtId="0" fontId="10" fillId="0" borderId="0" xfId="4" applyFont="1"/>
    <xf numFmtId="0" fontId="5" fillId="0" borderId="0" xfId="4" applyFont="1"/>
    <xf numFmtId="0" fontId="6" fillId="0" borderId="0" xfId="4" applyFont="1" applyAlignment="1">
      <alignment horizontal="center"/>
    </xf>
    <xf numFmtId="164" fontId="5" fillId="0" borderId="0" xfId="4" applyNumberFormat="1" applyFont="1"/>
    <xf numFmtId="165" fontId="11" fillId="2" borderId="5" xfId="4" applyNumberFormat="1" applyFont="1" applyFill="1" applyBorder="1"/>
    <xf numFmtId="166" fontId="11" fillId="0" borderId="0" xfId="4" applyNumberFormat="1" applyFont="1"/>
    <xf numFmtId="165" fontId="12" fillId="3" borderId="5" xfId="4" applyNumberFormat="1" applyFont="1" applyFill="1" applyBorder="1"/>
    <xf numFmtId="165" fontId="11" fillId="0" borderId="0" xfId="4" applyNumberFormat="1" applyFont="1"/>
    <xf numFmtId="166" fontId="13" fillId="3" borderId="5" xfId="4" applyNumberFormat="1" applyFont="1" applyFill="1" applyBorder="1"/>
    <xf numFmtId="164" fontId="13" fillId="3" borderId="5" xfId="4" applyNumberFormat="1" applyFont="1" applyFill="1" applyBorder="1"/>
    <xf numFmtId="166" fontId="13" fillId="0" borderId="0" xfId="4" applyNumberFormat="1" applyFont="1"/>
    <xf numFmtId="164" fontId="11" fillId="0" borderId="0" xfId="4" applyNumberFormat="1" applyFont="1"/>
    <xf numFmtId="165" fontId="13" fillId="3" borderId="5" xfId="4" applyNumberFormat="1" applyFont="1" applyFill="1" applyBorder="1"/>
    <xf numFmtId="0" fontId="5" fillId="0" borderId="1" xfId="4" applyFont="1" applyBorder="1"/>
    <xf numFmtId="0" fontId="5" fillId="0" borderId="6" xfId="4" applyFont="1" applyBorder="1"/>
    <xf numFmtId="0" fontId="5" fillId="0" borderId="2" xfId="4" applyFont="1" applyBorder="1"/>
    <xf numFmtId="0" fontId="5" fillId="0" borderId="7" xfId="4" applyFont="1" applyBorder="1"/>
    <xf numFmtId="0" fontId="5" fillId="0" borderId="8" xfId="4" applyFont="1" applyBorder="1"/>
    <xf numFmtId="0" fontId="5" fillId="0" borderId="3" xfId="4" applyFont="1" applyBorder="1"/>
    <xf numFmtId="0" fontId="5" fillId="0" borderId="9" xfId="4" applyFont="1" applyBorder="1"/>
    <xf numFmtId="0" fontId="5" fillId="0" borderId="4" xfId="4" applyFont="1" applyBorder="1"/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/>
    <xf numFmtId="0" fontId="17" fillId="0" borderId="0" xfId="0" applyFont="1" applyAlignment="1">
      <alignment vertical="center"/>
    </xf>
    <xf numFmtId="0" fontId="17" fillId="0" borderId="0" xfId="0" applyFont="1"/>
    <xf numFmtId="0" fontId="18" fillId="0" borderId="0" xfId="0" applyFont="1" applyAlignment="1">
      <alignment vertical="center"/>
    </xf>
    <xf numFmtId="0" fontId="19" fillId="0" borderId="0" xfId="0" applyFont="1"/>
    <xf numFmtId="0" fontId="20" fillId="0" borderId="0" xfId="0" applyFont="1"/>
    <xf numFmtId="0" fontId="22" fillId="0" borderId="0" xfId="0" applyFont="1" applyAlignment="1">
      <alignment horizontal="center"/>
    </xf>
    <xf numFmtId="0" fontId="22" fillId="0" borderId="0" xfId="0" applyFont="1"/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left" vertical="center"/>
    </xf>
    <xf numFmtId="22" fontId="29" fillId="0" borderId="0" xfId="0" applyNumberFormat="1" applyFont="1"/>
    <xf numFmtId="0" fontId="30" fillId="0" borderId="0" xfId="0" applyFont="1" applyAlignment="1">
      <alignment horizontal="left"/>
    </xf>
    <xf numFmtId="0" fontId="31" fillId="0" borderId="0" xfId="0" applyFont="1"/>
    <xf numFmtId="0" fontId="30" fillId="0" borderId="0" xfId="0" applyFont="1"/>
    <xf numFmtId="0" fontId="30" fillId="0" borderId="0" xfId="0" applyFont="1" applyAlignment="1">
      <alignment horizontal="center"/>
    </xf>
    <xf numFmtId="0" fontId="28" fillId="0" borderId="0" xfId="0" applyFont="1"/>
    <xf numFmtId="0" fontId="26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44" fontId="27" fillId="0" borderId="0" xfId="1" applyFont="1" applyFill="1" applyBorder="1"/>
    <xf numFmtId="3" fontId="30" fillId="0" borderId="0" xfId="0" applyNumberFormat="1" applyFont="1" applyAlignment="1">
      <alignment horizontal="center"/>
    </xf>
    <xf numFmtId="44" fontId="34" fillId="0" borderId="0" xfId="1" applyFont="1" applyFill="1" applyBorder="1"/>
    <xf numFmtId="44" fontId="27" fillId="0" borderId="0" xfId="0" applyNumberFormat="1" applyFont="1"/>
    <xf numFmtId="0" fontId="33" fillId="0" borderId="0" xfId="0" applyFont="1" applyAlignment="1">
      <alignment horizontal="left"/>
    </xf>
    <xf numFmtId="0" fontId="33" fillId="0" borderId="0" xfId="0" applyFont="1"/>
    <xf numFmtId="0" fontId="33" fillId="0" borderId="0" xfId="0" applyFont="1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center"/>
    </xf>
    <xf numFmtId="0" fontId="35" fillId="0" borderId="0" xfId="0" applyFont="1" applyAlignment="1">
      <alignment horizontal="right" indent="1"/>
    </xf>
    <xf numFmtId="0" fontId="36" fillId="0" borderId="0" xfId="0" applyFont="1"/>
    <xf numFmtId="0" fontId="30" fillId="0" borderId="0" xfId="0" applyFont="1" applyAlignment="1">
      <alignment vertical="center" wrapText="1"/>
    </xf>
    <xf numFmtId="0" fontId="37" fillId="0" borderId="0" xfId="0" applyFont="1"/>
    <xf numFmtId="44" fontId="0" fillId="0" borderId="0" xfId="1" applyFont="1"/>
    <xf numFmtId="0" fontId="2" fillId="0" borderId="1" xfId="0" applyFont="1" applyBorder="1"/>
    <xf numFmtId="44" fontId="0" fillId="0" borderId="6" xfId="1" applyFont="1" applyBorder="1"/>
    <xf numFmtId="0" fontId="0" fillId="0" borderId="6" xfId="0" applyBorder="1"/>
    <xf numFmtId="0" fontId="0" fillId="0" borderId="2" xfId="0" applyBorder="1"/>
    <xf numFmtId="0" fontId="2" fillId="0" borderId="7" xfId="0" applyFont="1" applyBorder="1"/>
    <xf numFmtId="44" fontId="0" fillId="0" borderId="0" xfId="1" applyFont="1" applyBorder="1"/>
    <xf numFmtId="0" fontId="0" fillId="0" borderId="8" xfId="0" applyBorder="1"/>
    <xf numFmtId="0" fontId="2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" fontId="0" fillId="0" borderId="0" xfId="0" applyNumberFormat="1"/>
    <xf numFmtId="167" fontId="0" fillId="0" borderId="0" xfId="0" applyNumberFormat="1"/>
    <xf numFmtId="0" fontId="2" fillId="0" borderId="3" xfId="0" applyFont="1" applyBorder="1"/>
    <xf numFmtId="44" fontId="0" fillId="0" borderId="9" xfId="1" applyFont="1" applyBorder="1"/>
    <xf numFmtId="0" fontId="0" fillId="0" borderId="9" xfId="0" applyBorder="1"/>
    <xf numFmtId="0" fontId="0" fillId="0" borderId="4" xfId="0" applyBorder="1"/>
    <xf numFmtId="168" fontId="0" fillId="0" borderId="0" xfId="1" applyNumberFormat="1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4" fontId="30" fillId="0" borderId="0" xfId="0" applyNumberFormat="1" applyFont="1" applyAlignment="1">
      <alignment horizontal="center" vertical="center"/>
    </xf>
    <xf numFmtId="44" fontId="27" fillId="0" borderId="0" xfId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44" fontId="0" fillId="0" borderId="0" xfId="1" applyFont="1" applyAlignment="1">
      <alignment vertical="center"/>
    </xf>
    <xf numFmtId="0" fontId="0" fillId="0" borderId="0" xfId="0" applyAlignment="1">
      <alignment vertical="center"/>
    </xf>
    <xf numFmtId="0" fontId="30" fillId="0" borderId="0" xfId="0" applyFont="1" applyAlignment="1">
      <alignment horizontal="left" wrapText="1"/>
    </xf>
    <xf numFmtId="0" fontId="32" fillId="0" borderId="0" xfId="0" applyFont="1" applyAlignment="1">
      <alignment vertical="center" wrapText="1"/>
    </xf>
    <xf numFmtId="44" fontId="2" fillId="0" borderId="0" xfId="0" applyNumberFormat="1" applyFont="1"/>
    <xf numFmtId="0" fontId="32" fillId="0" borderId="0" xfId="0" applyFont="1" applyAlignment="1">
      <alignment horizontal="right"/>
    </xf>
    <xf numFmtId="0" fontId="0" fillId="0" borderId="0" xfId="0" applyAlignment="1">
      <alignment horizontal="left" vertical="center"/>
    </xf>
    <xf numFmtId="0" fontId="28" fillId="0" borderId="0" xfId="0" applyFont="1" applyAlignment="1">
      <alignment horizontal="right"/>
    </xf>
    <xf numFmtId="0" fontId="24" fillId="4" borderId="0" xfId="0" applyFont="1" applyFill="1" applyAlignment="1">
      <alignment horizontal="center"/>
    </xf>
    <xf numFmtId="0" fontId="25" fillId="4" borderId="0" xfId="0" applyFont="1" applyFill="1" applyAlignment="1">
      <alignment vertical="center"/>
    </xf>
    <xf numFmtId="0" fontId="25" fillId="4" borderId="0" xfId="0" applyFont="1" applyFill="1" applyAlignment="1">
      <alignment horizontal="center"/>
    </xf>
    <xf numFmtId="0" fontId="25" fillId="4" borderId="0" xfId="0" applyFont="1" applyFill="1" applyAlignment="1">
      <alignment horizontal="center" vertical="center" wrapText="1"/>
    </xf>
    <xf numFmtId="0" fontId="25" fillId="4" borderId="0" xfId="0" applyFont="1" applyFill="1"/>
    <xf numFmtId="44" fontId="25" fillId="4" borderId="0" xfId="1" applyFont="1" applyFill="1" applyBorder="1"/>
    <xf numFmtId="0" fontId="25" fillId="4" borderId="0" xfId="0" applyFont="1" applyFill="1" applyAlignment="1">
      <alignment horizontal="left"/>
    </xf>
    <xf numFmtId="44" fontId="25" fillId="4" borderId="0" xfId="0" applyNumberFormat="1" applyFont="1" applyFill="1"/>
    <xf numFmtId="0" fontId="25" fillId="4" borderId="0" xfId="0" applyFont="1" applyFill="1" applyAlignment="1">
      <alignment horizontal="center" vertical="center"/>
    </xf>
    <xf numFmtId="0" fontId="0" fillId="5" borderId="13" xfId="0" applyFill="1" applyBorder="1"/>
    <xf numFmtId="0" fontId="0" fillId="5" borderId="5" xfId="0" applyFill="1" applyBorder="1"/>
    <xf numFmtId="0" fontId="0" fillId="5" borderId="14" xfId="0" applyFill="1" applyBorder="1"/>
    <xf numFmtId="0" fontId="0" fillId="5" borderId="15" xfId="0" applyFill="1" applyBorder="1"/>
    <xf numFmtId="0" fontId="0" fillId="5" borderId="16" xfId="0" applyFill="1" applyBorder="1"/>
    <xf numFmtId="0" fontId="0" fillId="5" borderId="17" xfId="0" applyFill="1" applyBorder="1"/>
    <xf numFmtId="0" fontId="15" fillId="6" borderId="10" xfId="0" applyFont="1" applyFill="1" applyBorder="1" applyAlignment="1">
      <alignment horizontal="center"/>
    </xf>
    <xf numFmtId="0" fontId="15" fillId="6" borderId="11" xfId="0" applyFont="1" applyFill="1" applyBorder="1" applyAlignment="1">
      <alignment horizontal="center"/>
    </xf>
    <xf numFmtId="0" fontId="15" fillId="6" borderId="12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4" fontId="25" fillId="4" borderId="0" xfId="0" applyNumberFormat="1" applyFont="1" applyFill="1" applyAlignment="1">
      <alignment horizontal="center"/>
    </xf>
    <xf numFmtId="0" fontId="30" fillId="7" borderId="18" xfId="0" applyFont="1" applyFill="1" applyBorder="1" applyAlignment="1">
      <alignment horizontal="center" vertical="center"/>
    </xf>
    <xf numFmtId="4" fontId="30" fillId="7" borderId="0" xfId="0" applyNumberFormat="1" applyFont="1" applyFill="1" applyAlignment="1">
      <alignment horizontal="center" vertical="center"/>
    </xf>
    <xf numFmtId="0" fontId="32" fillId="7" borderId="19" xfId="0" applyFont="1" applyFill="1" applyBorder="1" applyAlignment="1">
      <alignment vertical="center" wrapText="1"/>
    </xf>
    <xf numFmtId="0" fontId="23" fillId="4" borderId="0" xfId="0" applyFont="1" applyFill="1" applyAlignment="1">
      <alignment vertical="center"/>
    </xf>
    <xf numFmtId="0" fontId="23" fillId="8" borderId="0" xfId="0" applyFont="1" applyFill="1" applyAlignment="1">
      <alignment vertical="center"/>
    </xf>
    <xf numFmtId="0" fontId="25" fillId="8" borderId="0" xfId="0" applyFont="1" applyFill="1" applyAlignment="1">
      <alignment vertical="center"/>
    </xf>
    <xf numFmtId="0" fontId="25" fillId="8" borderId="0" xfId="0" applyFont="1" applyFill="1" applyAlignment="1">
      <alignment horizontal="center"/>
    </xf>
    <xf numFmtId="0" fontId="25" fillId="8" borderId="0" xfId="0" applyFont="1" applyFill="1" applyAlignment="1">
      <alignment horizontal="center" vertical="center"/>
    </xf>
    <xf numFmtId="0" fontId="25" fillId="8" borderId="0" xfId="0" applyFont="1" applyFill="1" applyAlignment="1">
      <alignment horizontal="center" vertical="center" wrapText="1"/>
    </xf>
    <xf numFmtId="0" fontId="25" fillId="8" borderId="0" xfId="0" applyFont="1" applyFill="1"/>
    <xf numFmtId="44" fontId="25" fillId="8" borderId="0" xfId="1" applyFont="1" applyFill="1" applyBorder="1"/>
    <xf numFmtId="0" fontId="25" fillId="8" borderId="0" xfId="0" applyFont="1" applyFill="1" applyAlignment="1">
      <alignment horizontal="left"/>
    </xf>
    <xf numFmtId="44" fontId="25" fillId="8" borderId="0" xfId="0" applyNumberFormat="1" applyFont="1" applyFill="1"/>
    <xf numFmtId="169" fontId="30" fillId="7" borderId="20" xfId="1" applyNumberFormat="1" applyFont="1" applyFill="1" applyBorder="1" applyAlignment="1">
      <alignment vertical="center"/>
    </xf>
    <xf numFmtId="0" fontId="33" fillId="0" borderId="0" xfId="0" applyFont="1" applyAlignment="1">
      <alignment wrapText="1"/>
    </xf>
    <xf numFmtId="0" fontId="25" fillId="8" borderId="5" xfId="0" applyFont="1" applyFill="1" applyBorder="1" applyAlignment="1">
      <alignment horizontal="center" wrapText="1"/>
    </xf>
    <xf numFmtId="0" fontId="39" fillId="8" borderId="5" xfId="0" applyFont="1" applyFill="1" applyBorder="1" applyAlignment="1">
      <alignment horizontal="center" wrapText="1"/>
    </xf>
    <xf numFmtId="0" fontId="30" fillId="5" borderId="20" xfId="0" applyFont="1" applyFill="1" applyBorder="1" applyAlignment="1">
      <alignment horizontal="center" vertical="center"/>
    </xf>
    <xf numFmtId="169" fontId="30" fillId="5" borderId="20" xfId="1" applyNumberFormat="1" applyFont="1" applyFill="1" applyBorder="1" applyAlignment="1">
      <alignment vertical="center"/>
    </xf>
    <xf numFmtId="0" fontId="30" fillId="5" borderId="0" xfId="0" applyFont="1" applyFill="1" applyAlignment="1">
      <alignment horizontal="left"/>
    </xf>
    <xf numFmtId="0" fontId="27" fillId="5" borderId="0" xfId="0" applyFont="1" applyFill="1"/>
    <xf numFmtId="0" fontId="27" fillId="5" borderId="0" xfId="0" applyFont="1" applyFill="1" applyAlignment="1">
      <alignment horizontal="center"/>
    </xf>
    <xf numFmtId="0" fontId="22" fillId="5" borderId="0" xfId="0" applyFont="1" applyFill="1" applyAlignment="1">
      <alignment horizontal="center"/>
    </xf>
    <xf numFmtId="44" fontId="30" fillId="5" borderId="20" xfId="1" applyFont="1" applyFill="1" applyBorder="1" applyAlignment="1">
      <alignment vertical="center"/>
    </xf>
    <xf numFmtId="44" fontId="30" fillId="5" borderId="20" xfId="1" applyFont="1" applyFill="1" applyBorder="1"/>
    <xf numFmtId="0" fontId="30" fillId="5" borderId="20" xfId="0" applyFont="1" applyFill="1" applyBorder="1"/>
    <xf numFmtId="0" fontId="38" fillId="0" borderId="5" xfId="0" applyFont="1" applyBorder="1" applyAlignment="1">
      <alignment horizontal="center"/>
    </xf>
    <xf numFmtId="44" fontId="30" fillId="7" borderId="19" xfId="1" applyFont="1" applyFill="1" applyBorder="1" applyAlignment="1">
      <alignment vertical="center"/>
    </xf>
    <xf numFmtId="44" fontId="30" fillId="7" borderId="19" xfId="1" applyFont="1" applyFill="1" applyBorder="1"/>
    <xf numFmtId="0" fontId="30" fillId="7" borderId="19" xfId="0" applyFont="1" applyFill="1" applyBorder="1"/>
    <xf numFmtId="169" fontId="30" fillId="0" borderId="21" xfId="1" applyNumberFormat="1" applyFont="1" applyBorder="1" applyAlignment="1">
      <alignment vertical="center"/>
    </xf>
    <xf numFmtId="169" fontId="30" fillId="0" borderId="22" xfId="1" applyNumberFormat="1" applyFont="1" applyBorder="1" applyAlignment="1">
      <alignment vertical="center"/>
    </xf>
    <xf numFmtId="169" fontId="30" fillId="0" borderId="22" xfId="1" applyNumberFormat="1" applyFont="1" applyBorder="1"/>
    <xf numFmtId="169" fontId="30" fillId="0" borderId="23" xfId="0" applyNumberFormat="1" applyFont="1" applyBorder="1"/>
    <xf numFmtId="0" fontId="33" fillId="0" borderId="0" xfId="0" applyFont="1" applyAlignment="1">
      <alignment horizontal="right"/>
    </xf>
    <xf numFmtId="8" fontId="40" fillId="0" borderId="5" xfId="0" applyNumberFormat="1" applyFont="1" applyBorder="1" applyAlignment="1">
      <alignment horizontal="center" vertical="center"/>
    </xf>
    <xf numFmtId="44" fontId="15" fillId="0" borderId="0" xfId="0" applyNumberFormat="1" applyFont="1"/>
    <xf numFmtId="0" fontId="28" fillId="5" borderId="0" xfId="0" applyFont="1" applyFill="1"/>
    <xf numFmtId="0" fontId="28" fillId="5" borderId="0" xfId="0" applyFont="1" applyFill="1" applyAlignment="1">
      <alignment horizontal="right"/>
    </xf>
    <xf numFmtId="4" fontId="30" fillId="5" borderId="0" xfId="0" applyNumberFormat="1" applyFont="1" applyFill="1" applyAlignment="1">
      <alignment horizontal="center" vertical="center"/>
    </xf>
    <xf numFmtId="0" fontId="32" fillId="5" borderId="0" xfId="0" applyFont="1" applyFill="1" applyAlignment="1">
      <alignment vertical="center" wrapText="1"/>
    </xf>
    <xf numFmtId="4" fontId="30" fillId="5" borderId="0" xfId="0" applyNumberFormat="1" applyFont="1" applyFill="1" applyAlignment="1">
      <alignment horizontal="center"/>
    </xf>
    <xf numFmtId="3" fontId="30" fillId="5" borderId="0" xfId="0" applyNumberFormat="1" applyFont="1" applyFill="1" applyAlignment="1">
      <alignment horizontal="center"/>
    </xf>
    <xf numFmtId="0" fontId="25" fillId="8" borderId="5" xfId="0" applyFont="1" applyFill="1" applyBorder="1" applyAlignment="1">
      <alignment horizontal="center" vertical="center" wrapText="1"/>
    </xf>
    <xf numFmtId="4" fontId="30" fillId="0" borderId="0" xfId="0" applyNumberFormat="1" applyFont="1" applyAlignment="1">
      <alignment vertical="center"/>
    </xf>
    <xf numFmtId="4" fontId="30" fillId="0" borderId="0" xfId="0" applyNumberFormat="1" applyFont="1"/>
    <xf numFmtId="4" fontId="25" fillId="8" borderId="0" xfId="0" applyNumberFormat="1" applyFont="1" applyFill="1"/>
    <xf numFmtId="4" fontId="30" fillId="5" borderId="0" xfId="0" applyNumberFormat="1" applyFont="1" applyFill="1" applyAlignment="1">
      <alignment vertical="center"/>
    </xf>
    <xf numFmtId="4" fontId="30" fillId="5" borderId="0" xfId="0" applyNumberFormat="1" applyFont="1" applyFill="1"/>
    <xf numFmtId="0" fontId="30" fillId="0" borderId="0" xfId="0" applyFont="1" applyAlignment="1">
      <alignment horizontal="right" vertical="center" wrapText="1"/>
    </xf>
    <xf numFmtId="0" fontId="33" fillId="0" borderId="0" xfId="0" applyFont="1" applyAlignment="1">
      <alignment horizontal="left" wrapText="1"/>
    </xf>
    <xf numFmtId="0" fontId="33" fillId="0" borderId="0" xfId="0" applyFont="1" applyAlignment="1">
      <alignment horizontal="left"/>
    </xf>
    <xf numFmtId="0" fontId="23" fillId="8" borderId="0" xfId="0" applyFont="1" applyFill="1" applyAlignment="1">
      <alignment horizontal="center" vertical="center"/>
    </xf>
    <xf numFmtId="170" fontId="25" fillId="8" borderId="0" xfId="0" applyNumberFormat="1" applyFont="1" applyFill="1" applyAlignment="1">
      <alignment horizontal="center" vertical="center"/>
    </xf>
    <xf numFmtId="14" fontId="25" fillId="8" borderId="0" xfId="0" applyNumberFormat="1" applyFont="1" applyFill="1" applyAlignment="1">
      <alignment horizontal="left"/>
    </xf>
    <xf numFmtId="0" fontId="30" fillId="5" borderId="0" xfId="0" applyFont="1" applyFill="1" applyAlignment="1">
      <alignment horizontal="left" vertical="center" wrapText="1"/>
    </xf>
    <xf numFmtId="0" fontId="21" fillId="0" borderId="0" xfId="0" applyFont="1" applyAlignment="1">
      <alignment horizontal="right"/>
    </xf>
    <xf numFmtId="0" fontId="23" fillId="4" borderId="0" xfId="0" applyFont="1" applyFill="1" applyAlignment="1">
      <alignment horizontal="center" vertical="center"/>
    </xf>
    <xf numFmtId="22" fontId="25" fillId="4" borderId="0" xfId="0" applyNumberFormat="1" applyFont="1" applyFill="1" applyAlignment="1">
      <alignment horizontal="left"/>
    </xf>
    <xf numFmtId="0" fontId="33" fillId="0" borderId="0" xfId="0" applyFont="1" applyAlignment="1">
      <alignment horizontal="center"/>
    </xf>
    <xf numFmtId="0" fontId="28" fillId="7" borderId="0" xfId="0" applyFont="1" applyFill="1" applyAlignment="1">
      <alignment horizontal="center"/>
    </xf>
    <xf numFmtId="170" fontId="25" fillId="4" borderId="0" xfId="0" applyNumberFormat="1" applyFont="1" applyFill="1" applyAlignment="1">
      <alignment horizontal="center" vertical="center"/>
    </xf>
  </cellXfs>
  <cellStyles count="7">
    <cellStyle name="Millares 2" xfId="3" xr:uid="{00000000-0005-0000-0000-000000000000}"/>
    <cellStyle name="Millares 2 2" xfId="6" xr:uid="{00000000-0005-0000-0000-000001000000}"/>
    <cellStyle name="Moneda" xfId="1" builtinId="4"/>
    <cellStyle name="Moneda 2" xfId="5" xr:uid="{00000000-0005-0000-0000-000003000000}"/>
    <cellStyle name="Normal" xfId="0" builtinId="0"/>
    <cellStyle name="Normal 2" xfId="2" xr:uid="{00000000-0005-0000-0000-000005000000}"/>
    <cellStyle name="Normal_MACRO PARA CHEQUES" xfId="4" xr:uid="{00000000-0005-0000-0000-000006000000}"/>
  </cellStyles>
  <dxfs count="0"/>
  <tableStyles count="0" defaultTableStyle="TableStyleMedium2" defaultPivotStyle="PivotStyleLight16"/>
  <colors>
    <mruColors>
      <color rgb="FF2A411B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rogram%20Files/Numeros%20a%20Letras/Convertir%20n&#250;meros%20a%20letras.xlam" TargetMode="External"/><Relationship Id="rId1" Type="http://schemas.openxmlformats.org/officeDocument/2006/relationships/externalLinkPath" Target="/Program%20Files/Numeros%20a%20Letras/Convertir%20n&#250;meros%20a%20letra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CELeINFO"/>
      <sheetName val="Números a letras"/>
      <sheetName val="Hoja1"/>
      <sheetName val="Convertir números a letras"/>
    </sheetNames>
    <definedNames>
      <definedName name="cMoneda2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  <pageSetUpPr fitToPage="1"/>
  </sheetPr>
  <dimension ref="A1:S60"/>
  <sheetViews>
    <sheetView showGridLines="0" tabSelected="1" zoomScale="58" zoomScaleNormal="66" zoomScaleSheetLayoutView="40" workbookViewId="0">
      <selection activeCell="F14" sqref="F14"/>
    </sheetView>
  </sheetViews>
  <sheetFormatPr baseColWidth="10" defaultRowHeight="21"/>
  <cols>
    <col min="2" max="2" width="7.109375" style="36" customWidth="1"/>
    <col min="3" max="3" width="21.6640625" style="39" customWidth="1"/>
    <col min="4" max="4" width="20.88671875" style="39" customWidth="1"/>
    <col min="5" max="5" width="25" style="38" customWidth="1"/>
    <col min="6" max="6" width="72.5546875" style="38" customWidth="1"/>
    <col min="7" max="7" width="25.109375" style="39" customWidth="1"/>
    <col min="8" max="8" width="30.6640625" style="39" customWidth="1"/>
    <col min="9" max="9" width="11" style="37" customWidth="1"/>
    <col min="10" max="10" width="18.109375" style="1" bestFit="1" customWidth="1"/>
    <col min="11" max="11" width="13.44140625" style="65" bestFit="1" customWidth="1"/>
    <col min="12" max="12" width="21.6640625" style="39" customWidth="1"/>
    <col min="13" max="13" width="20.88671875" style="39" customWidth="1"/>
    <col min="14" max="14" width="25" style="38" customWidth="1"/>
    <col min="15" max="15" width="72.5546875" style="38" customWidth="1"/>
    <col min="16" max="16" width="25.109375" style="39" customWidth="1"/>
    <col min="17" max="17" width="30.6640625" style="39" customWidth="1"/>
    <col min="18" max="18" width="9.33203125" style="37" customWidth="1"/>
    <col min="19" max="19" width="14.44140625" customWidth="1"/>
  </cols>
  <sheetData>
    <row r="1" spans="2:18" ht="23.25" customHeight="1">
      <c r="C1" s="166" t="s">
        <v>0</v>
      </c>
      <c r="D1" s="166"/>
      <c r="E1" s="166"/>
      <c r="F1" s="118"/>
      <c r="G1" s="119" t="s">
        <v>199</v>
      </c>
      <c r="H1" s="167">
        <v>46195</v>
      </c>
      <c r="I1" s="167"/>
      <c r="J1" s="3"/>
      <c r="L1" s="166" t="s">
        <v>0</v>
      </c>
      <c r="M1" s="166"/>
      <c r="N1" s="166"/>
      <c r="O1" s="118"/>
      <c r="P1" s="119" t="s">
        <v>199</v>
      </c>
      <c r="Q1" s="167">
        <f>H1</f>
        <v>46195</v>
      </c>
      <c r="R1" s="167"/>
    </row>
    <row r="2" spans="2:18" ht="21.75" customHeight="1">
      <c r="C2" s="166"/>
      <c r="D2" s="166"/>
      <c r="E2" s="166"/>
      <c r="F2" s="118"/>
      <c r="G2" s="119" t="s">
        <v>267</v>
      </c>
      <c r="H2" s="120"/>
      <c r="I2" s="120"/>
      <c r="J2" s="3"/>
      <c r="L2" s="166"/>
      <c r="M2" s="166"/>
      <c r="N2" s="166"/>
      <c r="O2" s="118"/>
      <c r="P2" s="119" t="str">
        <f>G2</f>
        <v>OC.696/E640</v>
      </c>
      <c r="Q2" s="120"/>
      <c r="R2" s="120"/>
    </row>
    <row r="3" spans="2:18" ht="24.75" customHeight="1">
      <c r="C3" s="166"/>
      <c r="D3" s="166"/>
      <c r="E3" s="166"/>
      <c r="F3" s="118"/>
      <c r="G3" s="119" t="s">
        <v>1</v>
      </c>
      <c r="H3" s="168">
        <f ca="1">NOW()</f>
        <v>46206.632248148147</v>
      </c>
      <c r="I3" s="168"/>
      <c r="J3" s="3"/>
      <c r="L3" s="166"/>
      <c r="M3" s="166"/>
      <c r="N3" s="166"/>
      <c r="O3" s="118"/>
      <c r="P3" s="119" t="s">
        <v>1</v>
      </c>
      <c r="Q3" s="168">
        <f ca="1">NOW()</f>
        <v>46206.632248148147</v>
      </c>
      <c r="R3" s="168"/>
    </row>
    <row r="4" spans="2:18" ht="30" customHeight="1">
      <c r="B4" s="40"/>
      <c r="C4" s="43" t="s">
        <v>252</v>
      </c>
      <c r="D4" s="41"/>
      <c r="E4" s="42"/>
      <c r="G4" s="41" t="s">
        <v>268</v>
      </c>
      <c r="H4" s="41"/>
      <c r="I4" s="44"/>
      <c r="L4" s="43" t="s">
        <v>175</v>
      </c>
      <c r="M4" s="41"/>
      <c r="N4" s="42"/>
      <c r="P4" s="41"/>
      <c r="Q4" s="41"/>
      <c r="R4" s="44"/>
    </row>
    <row r="5" spans="2:18">
      <c r="B5" s="40"/>
      <c r="C5" s="133" t="str">
        <f>VLOOKUP($C$4,CONCEPTOS!$I$1:$L$15,2,0)</f>
        <v>AIDC780612P9A</v>
      </c>
      <c r="D5" s="134"/>
      <c r="E5" s="135"/>
      <c r="F5" s="136"/>
      <c r="G5" s="134"/>
      <c r="H5" s="41"/>
      <c r="I5" s="46"/>
      <c r="L5" s="133" t="str">
        <f>VLOOKUP($L$4,CONCEPTOS!$I$18:$L$32,2,0)</f>
        <v>REGA5602198E6</v>
      </c>
      <c r="M5" s="134"/>
      <c r="N5" s="135"/>
      <c r="O5" s="136"/>
      <c r="P5" s="134"/>
      <c r="Q5" s="41"/>
      <c r="R5" s="46"/>
    </row>
    <row r="6" spans="2:18" ht="21.75" customHeight="1">
      <c r="B6" s="40"/>
      <c r="C6" s="169" t="str">
        <f>VLOOKUP($C$4,CONCEPTOS!$I$1:$L$15,3,0)</f>
        <v>CALLE 6 No.370 COL.SAN MARCOS NOCOH, MERIDA, YUCATAN C.P.97296</v>
      </c>
      <c r="D6" s="169" t="e">
        <f>VLOOKUP(D5,CONCEPTOS!$I$1:$L$15,2,0)</f>
        <v>#N/A</v>
      </c>
      <c r="E6" s="169" t="e">
        <f>VLOOKUP(E5,CONCEPTOS!$I$1:$L$15,2,0)</f>
        <v>#N/A</v>
      </c>
      <c r="F6" s="169" t="e">
        <f>VLOOKUP(F5,CONCEPTOS!$I$1:$L$15,2,0)</f>
        <v>#N/A</v>
      </c>
      <c r="G6" s="169" t="e">
        <f>VLOOKUP(G5,CONCEPTOS!$I$1:$L$15,2,0)</f>
        <v>#N/A</v>
      </c>
      <c r="H6" s="63"/>
      <c r="I6" s="63"/>
      <c r="L6" s="169" t="str">
        <f>VLOOKUP($L$4,CONCEPTOS!$I$18:$L$32,3,0)</f>
        <v xml:space="preserve">CALLE 22 No109A ENTRE 23 Y 25 CHOLUL, MERIDA, YUCATAN, MEXICO </v>
      </c>
      <c r="M6" s="169" t="e">
        <f>VLOOKUP(M5,CONCEPTOS!$I$1:$L$15,2,0)</f>
        <v>#N/A</v>
      </c>
      <c r="N6" s="169" t="e">
        <f>VLOOKUP(N5,CONCEPTOS!$I$1:$L$15,2,0)</f>
        <v>#N/A</v>
      </c>
      <c r="O6" s="169" t="e">
        <f>VLOOKUP(O5,CONCEPTOS!$I$1:$L$15,2,0)</f>
        <v>#N/A</v>
      </c>
      <c r="P6" s="169" t="e">
        <f>VLOOKUP(P5,CONCEPTOS!$I$1:$L$15,2,0)</f>
        <v>#N/A</v>
      </c>
      <c r="Q6" s="63"/>
      <c r="R6" s="63"/>
    </row>
    <row r="7" spans="2:18" ht="22.5" customHeight="1">
      <c r="B7" s="40"/>
      <c r="C7" s="169" t="str">
        <f>VLOOKUP($C$4,CONCEPTOS!$I$1:$L$15,4,0)</f>
        <v>P.F. ACT EMP Y PROF</v>
      </c>
      <c r="D7" s="169" t="e">
        <f>VLOOKUP(D6,CONCEPTOS!$I$1:$L$15,2,0)</f>
        <v>#N/A</v>
      </c>
      <c r="E7" s="169" t="e">
        <f>VLOOKUP(E6,CONCEPTOS!$I$1:$L$15,2,0)</f>
        <v>#N/A</v>
      </c>
      <c r="F7" s="169" t="e">
        <f>VLOOKUP(F6,CONCEPTOS!$I$1:$L$15,2,0)</f>
        <v>#N/A</v>
      </c>
      <c r="G7" s="169" t="e">
        <f>VLOOKUP(G6,CONCEPTOS!$I$1:$L$15,2,0)</f>
        <v>#N/A</v>
      </c>
      <c r="H7" s="47"/>
      <c r="I7" s="41"/>
      <c r="L7" s="169" t="str">
        <f>VLOOKUP($L$4,CONCEPTOS!$I$18:$L$32,4,0)</f>
        <v>P.F. ACT EMP Y PROF</v>
      </c>
      <c r="M7" s="169" t="e">
        <f>VLOOKUP(M6,CONCEPTOS!$I$1:$L$15,2,0)</f>
        <v>#N/A</v>
      </c>
      <c r="N7" s="169" t="e">
        <f>VLOOKUP(N6,CONCEPTOS!$I$1:$L$15,2,0)</f>
        <v>#N/A</v>
      </c>
      <c r="O7" s="169" t="e">
        <f>VLOOKUP(O6,CONCEPTOS!$I$1:$L$15,2,0)</f>
        <v>#N/A</v>
      </c>
      <c r="P7" s="169" t="e">
        <f>VLOOKUP(P6,CONCEPTOS!$I$1:$L$15,2,0)</f>
        <v>#N/A</v>
      </c>
      <c r="Q7" s="47"/>
      <c r="R7" s="41"/>
    </row>
    <row r="8" spans="2:18">
      <c r="B8" s="40"/>
      <c r="C8" s="47"/>
      <c r="D8" s="47"/>
      <c r="E8" s="48"/>
      <c r="F8" s="48"/>
      <c r="G8" s="47"/>
      <c r="H8" s="47"/>
      <c r="I8" s="41"/>
      <c r="L8" s="47"/>
      <c r="M8" s="47"/>
      <c r="N8" s="48"/>
      <c r="O8" s="48"/>
      <c r="P8" s="47"/>
      <c r="Q8" s="47"/>
      <c r="R8" s="41"/>
    </row>
    <row r="9" spans="2:18" ht="25.2">
      <c r="B9" s="40"/>
      <c r="C9" s="41"/>
      <c r="D9" s="41"/>
      <c r="E9" s="48"/>
      <c r="F9" s="48"/>
      <c r="G9" s="47"/>
      <c r="H9" s="91" t="s">
        <v>76</v>
      </c>
      <c r="I9" s="41"/>
      <c r="J9" s="42"/>
      <c r="K9" s="49"/>
      <c r="L9" s="41"/>
      <c r="M9" s="41"/>
      <c r="N9" s="48"/>
      <c r="O9" s="48"/>
      <c r="P9" s="47"/>
      <c r="Q9" s="91" t="s">
        <v>76</v>
      </c>
      <c r="R9" s="41"/>
    </row>
    <row r="10" spans="2:18" ht="24" customHeight="1">
      <c r="B10" s="40"/>
      <c r="F10" s="148" t="s">
        <v>191</v>
      </c>
      <c r="G10" s="49" t="s">
        <v>257</v>
      </c>
      <c r="H10" s="93"/>
      <c r="I10" s="49"/>
      <c r="J10" s="49"/>
      <c r="K10" s="42"/>
      <c r="O10" s="148" t="s">
        <v>191</v>
      </c>
      <c r="P10" s="151" t="str">
        <f>C4</f>
        <v>ELSY GUADALUPE SOSA CHAVEZ</v>
      </c>
      <c r="Q10" s="152"/>
      <c r="R10" s="151"/>
    </row>
    <row r="11" spans="2:18" ht="22.5" customHeight="1">
      <c r="B11" s="40"/>
      <c r="F11" s="45"/>
      <c r="G11" s="57" t="s">
        <v>193</v>
      </c>
      <c r="H11" s="57" t="s">
        <v>203</v>
      </c>
      <c r="I11" s="41"/>
      <c r="J11" s="42"/>
      <c r="K11" s="47"/>
      <c r="O11" s="45"/>
      <c r="P11" s="57"/>
      <c r="Q11" s="57"/>
      <c r="R11" s="41"/>
    </row>
    <row r="12" spans="2:18" ht="18.75" customHeight="1">
      <c r="B12" s="40"/>
      <c r="F12" s="163"/>
      <c r="G12" s="163"/>
      <c r="H12" s="163"/>
      <c r="I12" s="88"/>
      <c r="J12" s="88"/>
      <c r="K12" s="88"/>
      <c r="O12" s="163"/>
      <c r="P12" s="163"/>
      <c r="Q12" s="163"/>
      <c r="R12" s="88"/>
    </row>
    <row r="13" spans="2:18" ht="40.5" customHeight="1">
      <c r="B13" s="40"/>
      <c r="F13" s="163"/>
      <c r="G13" s="163"/>
      <c r="H13" s="163"/>
      <c r="I13" s="41"/>
      <c r="J13" s="47"/>
      <c r="K13" s="47"/>
      <c r="O13" s="163"/>
      <c r="P13" s="163"/>
      <c r="Q13" s="163"/>
      <c r="R13" s="41"/>
    </row>
    <row r="14" spans="2:18" ht="21" customHeight="1">
      <c r="B14" s="40"/>
      <c r="F14" s="45"/>
      <c r="G14" s="45"/>
      <c r="H14" s="45"/>
      <c r="I14" s="41"/>
      <c r="O14" s="45"/>
      <c r="P14" s="45"/>
      <c r="Q14" s="45"/>
      <c r="R14" s="41"/>
    </row>
    <row r="15" spans="2:18" ht="21" customHeight="1">
      <c r="B15" s="40"/>
      <c r="F15" s="47"/>
      <c r="G15" s="41"/>
      <c r="H15" s="41"/>
      <c r="I15" s="41"/>
      <c r="O15" s="47"/>
      <c r="P15" s="41"/>
      <c r="Q15" s="41"/>
      <c r="R15" s="41"/>
    </row>
    <row r="16" spans="2:18" ht="21" customHeight="1">
      <c r="B16" s="40"/>
      <c r="C16" s="164" t="s">
        <v>161</v>
      </c>
      <c r="D16" s="164"/>
      <c r="E16" s="45" t="s">
        <v>158</v>
      </c>
      <c r="I16" s="41"/>
      <c r="L16" s="164" t="s">
        <v>161</v>
      </c>
      <c r="M16" s="164"/>
      <c r="N16" s="45" t="s">
        <v>158</v>
      </c>
      <c r="R16" s="41"/>
    </row>
    <row r="17" spans="1:19" ht="21" customHeight="1">
      <c r="B17" s="40"/>
      <c r="C17" s="164" t="s">
        <v>134</v>
      </c>
      <c r="D17" s="164"/>
      <c r="E17" s="45" t="s">
        <v>152</v>
      </c>
      <c r="I17" s="41"/>
      <c r="J17" s="130" t="s">
        <v>196</v>
      </c>
      <c r="L17" s="164" t="s">
        <v>134</v>
      </c>
      <c r="M17" s="164"/>
      <c r="N17" s="45" t="s">
        <v>152</v>
      </c>
      <c r="R17" s="41"/>
    </row>
    <row r="18" spans="1:19" ht="21" customHeight="1">
      <c r="B18" s="40"/>
      <c r="C18" s="164" t="s">
        <v>135</v>
      </c>
      <c r="D18" s="164"/>
      <c r="E18" s="45"/>
      <c r="I18" s="41"/>
      <c r="J18" s="140" t="s">
        <v>198</v>
      </c>
      <c r="L18" s="164" t="s">
        <v>135</v>
      </c>
      <c r="M18" s="164"/>
      <c r="N18" s="45"/>
      <c r="R18" s="41"/>
    </row>
    <row r="19" spans="1:19">
      <c r="B19" s="40"/>
      <c r="C19" s="47"/>
      <c r="D19" s="47"/>
      <c r="E19"/>
      <c r="F19" s="48"/>
      <c r="G19" s="47"/>
      <c r="H19" s="47"/>
      <c r="I19" s="41"/>
      <c r="L19" s="47"/>
      <c r="M19" s="47"/>
      <c r="N19" s="48"/>
      <c r="O19" s="48"/>
      <c r="P19" s="47"/>
      <c r="Q19" s="47"/>
      <c r="R19" s="41"/>
    </row>
    <row r="20" spans="1:19" ht="40.799999999999997">
      <c r="A20" s="2"/>
      <c r="B20" s="50"/>
      <c r="C20" s="121" t="s">
        <v>2</v>
      </c>
      <c r="D20" s="121" t="s">
        <v>3</v>
      </c>
      <c r="E20" s="121" t="s">
        <v>8</v>
      </c>
      <c r="F20" s="122" t="s">
        <v>164</v>
      </c>
      <c r="G20" s="122" t="s">
        <v>77</v>
      </c>
      <c r="H20" s="121" t="s">
        <v>4</v>
      </c>
      <c r="I20" s="51"/>
      <c r="J20" s="129" t="s">
        <v>195</v>
      </c>
      <c r="K20" s="128"/>
      <c r="L20" s="121" t="s">
        <v>2</v>
      </c>
      <c r="M20" s="121" t="s">
        <v>3</v>
      </c>
      <c r="N20" s="121" t="s">
        <v>8</v>
      </c>
      <c r="O20" s="122" t="s">
        <v>164</v>
      </c>
      <c r="P20" s="122" t="s">
        <v>77</v>
      </c>
      <c r="Q20" s="121" t="s">
        <v>4</v>
      </c>
      <c r="R20" s="51"/>
      <c r="S20" s="157" t="s">
        <v>201</v>
      </c>
    </row>
    <row r="21" spans="1:19" s="2" customFormat="1">
      <c r="A21" s="87"/>
      <c r="B21" s="82"/>
      <c r="C21" s="131">
        <f>VLOOKUP(F21,CONCEPTOS!$A$1:$C$54,3,0)</f>
        <v>11191610</v>
      </c>
      <c r="D21" s="158">
        <v>7485</v>
      </c>
      <c r="E21" s="83" t="s">
        <v>170</v>
      </c>
      <c r="F21" s="89" t="s">
        <v>96</v>
      </c>
      <c r="G21" s="132">
        <f>IF(J21="","",IF($J$18="NO",ROUND(J21/1.16,6),J21))</f>
        <v>37.068966000000003</v>
      </c>
      <c r="H21" s="137">
        <f>IF(D21="","",D21*G21)</f>
        <v>277461.21051</v>
      </c>
      <c r="I21" s="84"/>
      <c r="J21" s="144">
        <v>43</v>
      </c>
      <c r="K21" s="86"/>
      <c r="L21" s="131">
        <f>IF(C21="","",C21)</f>
        <v>11191610</v>
      </c>
      <c r="M21" s="161">
        <f>IF(D21="","",D21)</f>
        <v>7485</v>
      </c>
      <c r="N21" s="153" t="str">
        <f t="shared" ref="N21:O34" si="0">IF(E21="","",E21)</f>
        <v>KGM</v>
      </c>
      <c r="O21" s="154" t="str">
        <f t="shared" si="0"/>
        <v>ALUMINIO 1100 TRASTE</v>
      </c>
      <c r="P21" s="132">
        <f>IF(G21="","",G21+$S$21)</f>
        <v>37.098966000000004</v>
      </c>
      <c r="Q21" s="137">
        <f>IF(M21="","",M21*P21)</f>
        <v>277685.76051000005</v>
      </c>
      <c r="R21" s="84"/>
      <c r="S21" s="149">
        <v>0.03</v>
      </c>
    </row>
    <row r="22" spans="1:19" s="2" customFormat="1" ht="20.399999999999999">
      <c r="A22" s="87"/>
      <c r="B22" s="82"/>
      <c r="C22" s="131">
        <f>IFERROR(VLOOKUP(F22,CONCEPTOS!$A$1:$C$54,3,0),"")</f>
        <v>11191610</v>
      </c>
      <c r="D22" s="158">
        <v>1638</v>
      </c>
      <c r="E22" s="83" t="s">
        <v>170</v>
      </c>
      <c r="F22" s="89" t="s">
        <v>99</v>
      </c>
      <c r="G22" s="132">
        <f>IF(J22="","",IF($J$18="NO",ROUND(J22/1.16,6),J22))</f>
        <v>62.931033999999997</v>
      </c>
      <c r="H22" s="137">
        <f>IF(D22="","",D22*G22)</f>
        <v>103081.033692</v>
      </c>
      <c r="I22" s="84"/>
      <c r="J22" s="145">
        <v>73</v>
      </c>
      <c r="K22" s="86"/>
      <c r="L22" s="131">
        <f t="shared" ref="L22:L34" si="1">IF(C22="","",C22)</f>
        <v>11191610</v>
      </c>
      <c r="M22" s="161">
        <f t="shared" ref="M22:M34" si="2">IF(D22="","",D22)</f>
        <v>1638</v>
      </c>
      <c r="N22" s="153" t="str">
        <f t="shared" si="0"/>
        <v>KGM</v>
      </c>
      <c r="O22" s="154" t="str">
        <f t="shared" si="0"/>
        <v>ALUMINIO CABLE</v>
      </c>
      <c r="P22" s="132">
        <f t="shared" ref="P22:P34" si="3">IF(G22="","",G22+$S$21)</f>
        <v>62.961033999999998</v>
      </c>
      <c r="Q22" s="137">
        <f>IF(M22="","",M22*P22)</f>
        <v>103130.173692</v>
      </c>
      <c r="R22" s="84"/>
    </row>
    <row r="23" spans="1:19" ht="20.399999999999999">
      <c r="B23" s="40"/>
      <c r="C23" s="131">
        <f>IFERROR(VLOOKUP(F23,CONCEPTOS!$A$1:$C$54,3,0),"")</f>
        <v>11191610</v>
      </c>
      <c r="D23" s="159">
        <v>4683</v>
      </c>
      <c r="E23" s="83" t="s">
        <v>170</v>
      </c>
      <c r="F23" s="89" t="s">
        <v>104</v>
      </c>
      <c r="G23" s="132">
        <f t="shared" ref="G23:G34" si="4">IF(J23="","",IF($J$18="NO",ROUND(J23/1.16,6),J23))</f>
        <v>59.913792999999998</v>
      </c>
      <c r="H23" s="138">
        <f>IF(D23="","",D23*G23)</f>
        <v>280576.29261900001</v>
      </c>
      <c r="I23" s="52"/>
      <c r="J23" s="146">
        <v>69.5</v>
      </c>
      <c r="L23" s="131">
        <f t="shared" si="1"/>
        <v>11191610</v>
      </c>
      <c r="M23" s="162">
        <f t="shared" si="2"/>
        <v>4683</v>
      </c>
      <c r="N23" s="155" t="str">
        <f t="shared" si="0"/>
        <v>KGM</v>
      </c>
      <c r="O23" s="154" t="str">
        <f t="shared" si="0"/>
        <v>ALUMINIO RIN CHICO</v>
      </c>
      <c r="P23" s="132">
        <f t="shared" si="3"/>
        <v>59.943792999999999</v>
      </c>
      <c r="Q23" s="138">
        <f>IF(M23="","",M23*P23)</f>
        <v>280716.78261900001</v>
      </c>
      <c r="R23" s="52"/>
    </row>
    <row r="24" spans="1:19" ht="20.399999999999999">
      <c r="B24" s="40"/>
      <c r="C24" s="131">
        <f>IFERROR(VLOOKUP(F24,CONCEPTOS!$A$1:$C$54,3,0),"")</f>
        <v>11191610</v>
      </c>
      <c r="D24" s="159">
        <v>5924</v>
      </c>
      <c r="E24" s="83" t="s">
        <v>170</v>
      </c>
      <c r="F24" s="89" t="s">
        <v>100</v>
      </c>
      <c r="G24" s="132">
        <f t="shared" si="4"/>
        <v>38.362068999999998</v>
      </c>
      <c r="H24" s="138">
        <f t="shared" ref="H24:H34" si="5">IF(D24="","",D24*G24)</f>
        <v>227256.896756</v>
      </c>
      <c r="I24" s="52"/>
      <c r="J24" s="146">
        <v>44.5</v>
      </c>
      <c r="L24" s="131">
        <f t="shared" si="1"/>
        <v>11191610</v>
      </c>
      <c r="M24" s="162">
        <f t="shared" si="2"/>
        <v>5924</v>
      </c>
      <c r="N24" s="155" t="str">
        <f t="shared" si="0"/>
        <v>KGM</v>
      </c>
      <c r="O24" s="154" t="str">
        <f t="shared" si="0"/>
        <v>ALUMINIO MACIZO</v>
      </c>
      <c r="P24" s="132">
        <f t="shared" si="3"/>
        <v>38.392068999999999</v>
      </c>
      <c r="Q24" s="138">
        <f t="shared" ref="Q24:Q34" si="6">IF(M24="","",M24*P24)</f>
        <v>227434.616756</v>
      </c>
      <c r="R24" s="52"/>
    </row>
    <row r="25" spans="1:19" ht="20.399999999999999">
      <c r="B25" s="40"/>
      <c r="C25" s="131">
        <f>IFERROR(VLOOKUP(F25,CONCEPTOS!$A$1:$C$54,3,0),"")</f>
        <v>11191610</v>
      </c>
      <c r="D25" s="159">
        <v>1830</v>
      </c>
      <c r="E25" s="83" t="s">
        <v>170</v>
      </c>
      <c r="F25" s="89" t="s">
        <v>107</v>
      </c>
      <c r="G25" s="132">
        <f t="shared" si="4"/>
        <v>35.344828</v>
      </c>
      <c r="H25" s="138">
        <f t="shared" si="5"/>
        <v>64681.035239999997</v>
      </c>
      <c r="I25" s="52"/>
      <c r="J25" s="146">
        <v>41</v>
      </c>
      <c r="L25" s="131">
        <f t="shared" si="1"/>
        <v>11191610</v>
      </c>
      <c r="M25" s="162">
        <f t="shared" si="2"/>
        <v>1830</v>
      </c>
      <c r="N25" s="155" t="str">
        <f t="shared" si="0"/>
        <v>KGM</v>
      </c>
      <c r="O25" s="154" t="str">
        <f t="shared" si="0"/>
        <v>ANTIMONIO</v>
      </c>
      <c r="P25" s="132">
        <f t="shared" si="3"/>
        <v>35.374828000000001</v>
      </c>
      <c r="Q25" s="138">
        <f t="shared" si="6"/>
        <v>64735.935239999999</v>
      </c>
      <c r="R25" s="52"/>
    </row>
    <row r="26" spans="1:19" ht="20.399999999999999">
      <c r="B26" s="40"/>
      <c r="C26" s="131" t="str">
        <f>IFERROR(VLOOKUP(F26,CONCEPTOS!$A$1:$C$54,3,0),"")</f>
        <v/>
      </c>
      <c r="D26" s="159"/>
      <c r="E26" s="53"/>
      <c r="F26" s="89"/>
      <c r="G26" s="132" t="str">
        <f t="shared" si="4"/>
        <v/>
      </c>
      <c r="H26" s="138" t="str">
        <f t="shared" si="5"/>
        <v/>
      </c>
      <c r="I26" s="52"/>
      <c r="J26" s="146"/>
      <c r="L26" s="131" t="str">
        <f t="shared" si="1"/>
        <v/>
      </c>
      <c r="M26" s="162" t="str">
        <f t="shared" si="2"/>
        <v/>
      </c>
      <c r="N26" s="156" t="str">
        <f t="shared" si="0"/>
        <v/>
      </c>
      <c r="O26" s="154" t="str">
        <f t="shared" si="0"/>
        <v/>
      </c>
      <c r="P26" s="132" t="str">
        <f t="shared" si="3"/>
        <v/>
      </c>
      <c r="Q26" s="138" t="str">
        <f t="shared" si="6"/>
        <v/>
      </c>
      <c r="R26" s="52"/>
    </row>
    <row r="27" spans="1:19" ht="20.399999999999999">
      <c r="B27" s="40"/>
      <c r="C27" s="131" t="str">
        <f>IFERROR(VLOOKUP(F27,CONCEPTOS!$A$1:$C$54,3,0),"")</f>
        <v/>
      </c>
      <c r="D27" s="159"/>
      <c r="E27" s="53"/>
      <c r="F27" s="89"/>
      <c r="G27" s="132" t="str">
        <f t="shared" si="4"/>
        <v/>
      </c>
      <c r="H27" s="138" t="str">
        <f t="shared" si="5"/>
        <v/>
      </c>
      <c r="I27" s="52"/>
      <c r="J27" s="146"/>
      <c r="L27" s="131" t="str">
        <f t="shared" si="1"/>
        <v/>
      </c>
      <c r="M27" s="162" t="str">
        <f t="shared" si="2"/>
        <v/>
      </c>
      <c r="N27" s="156" t="str">
        <f t="shared" si="0"/>
        <v/>
      </c>
      <c r="O27" s="154" t="str">
        <f t="shared" si="0"/>
        <v/>
      </c>
      <c r="P27" s="132" t="str">
        <f t="shared" si="3"/>
        <v/>
      </c>
      <c r="Q27" s="138" t="str">
        <f t="shared" si="6"/>
        <v/>
      </c>
      <c r="R27" s="52"/>
    </row>
    <row r="28" spans="1:19" ht="20.399999999999999">
      <c r="B28" s="40"/>
      <c r="C28" s="131" t="str">
        <f>IFERROR(VLOOKUP(F28,CONCEPTOS!$A$1:$C$54,3,0),"")</f>
        <v/>
      </c>
      <c r="D28" s="159"/>
      <c r="E28" s="53"/>
      <c r="F28" s="89"/>
      <c r="G28" s="132" t="str">
        <f t="shared" si="4"/>
        <v/>
      </c>
      <c r="H28" s="138" t="str">
        <f t="shared" si="5"/>
        <v/>
      </c>
      <c r="I28" s="52"/>
      <c r="J28" s="146"/>
      <c r="L28" s="131" t="str">
        <f t="shared" si="1"/>
        <v/>
      </c>
      <c r="M28" s="162" t="str">
        <f t="shared" si="2"/>
        <v/>
      </c>
      <c r="N28" s="156" t="str">
        <f t="shared" si="0"/>
        <v/>
      </c>
      <c r="O28" s="154" t="str">
        <f t="shared" si="0"/>
        <v/>
      </c>
      <c r="P28" s="132" t="str">
        <f t="shared" si="3"/>
        <v/>
      </c>
      <c r="Q28" s="138" t="str">
        <f t="shared" si="6"/>
        <v/>
      </c>
      <c r="R28" s="52"/>
    </row>
    <row r="29" spans="1:19" ht="20.399999999999999">
      <c r="B29" s="40"/>
      <c r="C29" s="131" t="str">
        <f>IFERROR(VLOOKUP(F29,CONCEPTOS!$A$1:$C$54,3,0),"")</f>
        <v/>
      </c>
      <c r="D29" s="159"/>
      <c r="E29" s="53"/>
      <c r="F29" s="89"/>
      <c r="G29" s="132" t="str">
        <f t="shared" si="4"/>
        <v/>
      </c>
      <c r="H29" s="138" t="str">
        <f t="shared" si="5"/>
        <v/>
      </c>
      <c r="I29" s="52"/>
      <c r="J29" s="146"/>
      <c r="L29" s="131" t="str">
        <f t="shared" si="1"/>
        <v/>
      </c>
      <c r="M29" s="162" t="str">
        <f t="shared" si="2"/>
        <v/>
      </c>
      <c r="N29" s="156" t="str">
        <f t="shared" si="0"/>
        <v/>
      </c>
      <c r="O29" s="154" t="str">
        <f t="shared" si="0"/>
        <v/>
      </c>
      <c r="P29" s="132" t="str">
        <f t="shared" si="3"/>
        <v/>
      </c>
      <c r="Q29" s="138" t="str">
        <f t="shared" si="6"/>
        <v/>
      </c>
      <c r="R29" s="52"/>
    </row>
    <row r="30" spans="1:19" ht="20.399999999999999">
      <c r="B30" s="40"/>
      <c r="C30" s="131" t="str">
        <f>IFERROR(VLOOKUP(F30,CONCEPTOS!$A$1:$C$54,3,0),"")</f>
        <v/>
      </c>
      <c r="D30" s="159"/>
      <c r="E30" s="53"/>
      <c r="F30" s="89"/>
      <c r="G30" s="132" t="str">
        <f t="shared" si="4"/>
        <v/>
      </c>
      <c r="H30" s="138" t="str">
        <f t="shared" si="5"/>
        <v/>
      </c>
      <c r="I30" s="52"/>
      <c r="J30" s="146"/>
      <c r="L30" s="131" t="str">
        <f t="shared" si="1"/>
        <v/>
      </c>
      <c r="M30" s="162" t="str">
        <f t="shared" si="2"/>
        <v/>
      </c>
      <c r="N30" s="156" t="str">
        <f t="shared" si="0"/>
        <v/>
      </c>
      <c r="O30" s="154" t="str">
        <f t="shared" si="0"/>
        <v/>
      </c>
      <c r="P30" s="132" t="str">
        <f t="shared" si="3"/>
        <v/>
      </c>
      <c r="Q30" s="138" t="str">
        <f t="shared" si="6"/>
        <v/>
      </c>
      <c r="R30" s="52"/>
    </row>
    <row r="31" spans="1:19" ht="20.399999999999999">
      <c r="B31" s="40"/>
      <c r="C31" s="131" t="str">
        <f>IFERROR(VLOOKUP(F31,CONCEPTOS!$A$1:$C$54,3,0),"")</f>
        <v/>
      </c>
      <c r="D31" s="159"/>
      <c r="E31" s="53"/>
      <c r="F31" s="89"/>
      <c r="G31" s="132" t="str">
        <f t="shared" si="4"/>
        <v/>
      </c>
      <c r="H31" s="138" t="str">
        <f t="shared" si="5"/>
        <v/>
      </c>
      <c r="I31" s="52"/>
      <c r="J31" s="146"/>
      <c r="L31" s="131" t="str">
        <f t="shared" si="1"/>
        <v/>
      </c>
      <c r="M31" s="162" t="str">
        <f t="shared" si="2"/>
        <v/>
      </c>
      <c r="N31" s="156" t="str">
        <f t="shared" si="0"/>
        <v/>
      </c>
      <c r="O31" s="154" t="str">
        <f t="shared" si="0"/>
        <v/>
      </c>
      <c r="P31" s="132" t="str">
        <f t="shared" si="3"/>
        <v/>
      </c>
      <c r="Q31" s="138" t="str">
        <f t="shared" si="6"/>
        <v/>
      </c>
      <c r="R31" s="52"/>
    </row>
    <row r="32" spans="1:19" ht="20.399999999999999">
      <c r="B32" s="40"/>
      <c r="C32" s="131" t="str">
        <f>IFERROR(VLOOKUP(F32,CONCEPTOS!$A$1:$C$54,3,0),"")</f>
        <v/>
      </c>
      <c r="D32" s="159"/>
      <c r="E32" s="53"/>
      <c r="F32" s="89"/>
      <c r="G32" s="132" t="str">
        <f t="shared" si="4"/>
        <v/>
      </c>
      <c r="H32" s="138" t="str">
        <f t="shared" si="5"/>
        <v/>
      </c>
      <c r="I32" s="52"/>
      <c r="J32" s="146"/>
      <c r="L32" s="131" t="str">
        <f t="shared" si="1"/>
        <v/>
      </c>
      <c r="M32" s="162" t="str">
        <f t="shared" si="2"/>
        <v/>
      </c>
      <c r="N32" s="156" t="str">
        <f t="shared" si="0"/>
        <v/>
      </c>
      <c r="O32" s="154" t="str">
        <f t="shared" si="0"/>
        <v/>
      </c>
      <c r="P32" s="132" t="str">
        <f t="shared" si="3"/>
        <v/>
      </c>
      <c r="Q32" s="138" t="str">
        <f t="shared" si="6"/>
        <v/>
      </c>
      <c r="R32" s="52"/>
    </row>
    <row r="33" spans="2:19" ht="20.399999999999999">
      <c r="B33" s="40"/>
      <c r="C33" s="131" t="str">
        <f>IFERROR(VLOOKUP(F33,CONCEPTOS!$A$1:$C$54,3,0),"")</f>
        <v/>
      </c>
      <c r="D33" s="159"/>
      <c r="E33" s="53"/>
      <c r="F33" s="89"/>
      <c r="G33" s="132" t="str">
        <f t="shared" si="4"/>
        <v/>
      </c>
      <c r="H33" s="138" t="str">
        <f t="shared" si="5"/>
        <v/>
      </c>
      <c r="I33" s="52"/>
      <c r="J33" s="146"/>
      <c r="L33" s="131" t="str">
        <f t="shared" si="1"/>
        <v/>
      </c>
      <c r="M33" s="162" t="str">
        <f t="shared" si="2"/>
        <v/>
      </c>
      <c r="N33" s="156" t="str">
        <f t="shared" si="0"/>
        <v/>
      </c>
      <c r="O33" s="154" t="str">
        <f t="shared" si="0"/>
        <v/>
      </c>
      <c r="P33" s="132" t="str">
        <f t="shared" si="3"/>
        <v/>
      </c>
      <c r="Q33" s="138" t="str">
        <f t="shared" si="6"/>
        <v/>
      </c>
      <c r="R33" s="52"/>
    </row>
    <row r="34" spans="2:19" ht="20.399999999999999">
      <c r="B34" s="40"/>
      <c r="C34" s="131" t="str">
        <f>IFERROR(VLOOKUP(F34,CONCEPTOS!$A$1:$C$54,3,0),"")</f>
        <v/>
      </c>
      <c r="D34" s="159"/>
      <c r="E34" s="53"/>
      <c r="F34" s="89"/>
      <c r="G34" s="132" t="str">
        <f t="shared" si="4"/>
        <v/>
      </c>
      <c r="H34" s="139" t="str">
        <f t="shared" si="5"/>
        <v/>
      </c>
      <c r="I34" s="41"/>
      <c r="J34" s="147"/>
      <c r="L34" s="131" t="str">
        <f t="shared" si="1"/>
        <v/>
      </c>
      <c r="M34" s="162" t="str">
        <f t="shared" si="2"/>
        <v/>
      </c>
      <c r="N34" s="156" t="str">
        <f t="shared" si="0"/>
        <v/>
      </c>
      <c r="O34" s="154" t="str">
        <f t="shared" si="0"/>
        <v/>
      </c>
      <c r="P34" s="132" t="str">
        <f t="shared" si="3"/>
        <v/>
      </c>
      <c r="Q34" s="139" t="str">
        <f t="shared" si="6"/>
        <v/>
      </c>
      <c r="R34" s="41"/>
    </row>
    <row r="35" spans="2:19">
      <c r="B35" s="40"/>
      <c r="C35" s="120" t="s">
        <v>4</v>
      </c>
      <c r="D35" s="160">
        <f>SUM(D21:D33)</f>
        <v>21560</v>
      </c>
      <c r="E35" s="120" t="s">
        <v>170</v>
      </c>
      <c r="F35" s="120"/>
      <c r="G35" s="123" t="s">
        <v>194</v>
      </c>
      <c r="H35" s="124">
        <f>SUM(H21:H32)</f>
        <v>953056.46881700004</v>
      </c>
      <c r="I35" s="54"/>
      <c r="L35" s="120" t="s">
        <v>4</v>
      </c>
      <c r="M35" s="160">
        <f>SUM(M21:M33)</f>
        <v>21560</v>
      </c>
      <c r="N35" s="120" t="s">
        <v>170</v>
      </c>
      <c r="O35" s="120"/>
      <c r="P35" s="123" t="s">
        <v>194</v>
      </c>
      <c r="Q35" s="124">
        <f>SUM(Q21:Q32)</f>
        <v>953703.26881699997</v>
      </c>
      <c r="R35" s="54"/>
    </row>
    <row r="36" spans="2:19">
      <c r="B36" s="40"/>
      <c r="C36" s="47"/>
      <c r="D36" s="47"/>
      <c r="E36" s="48"/>
      <c r="F36" s="48"/>
      <c r="G36" s="123" t="s">
        <v>85</v>
      </c>
      <c r="H36" s="124">
        <f>H35*0.16</f>
        <v>152489.03501072002</v>
      </c>
      <c r="I36" s="55"/>
      <c r="L36" s="47"/>
      <c r="M36" s="47"/>
      <c r="N36" s="48"/>
      <c r="O36" s="48"/>
      <c r="P36" s="123" t="s">
        <v>85</v>
      </c>
      <c r="Q36" s="124">
        <f>Q35*0.16</f>
        <v>152592.52301072</v>
      </c>
      <c r="R36" s="55"/>
    </row>
    <row r="37" spans="2:19">
      <c r="B37" s="40"/>
      <c r="C37" s="47"/>
      <c r="D37" s="47"/>
      <c r="E37" s="48"/>
      <c r="F37" s="48"/>
      <c r="G37" s="123" t="s">
        <v>86</v>
      </c>
      <c r="H37" s="124">
        <f>IF($J$18="NO",0,H36)</f>
        <v>0</v>
      </c>
      <c r="I37" s="55"/>
      <c r="L37" s="47"/>
      <c r="M37" s="47"/>
      <c r="N37" s="48"/>
      <c r="O37" s="48"/>
      <c r="P37" s="123" t="s">
        <v>86</v>
      </c>
      <c r="Q37" s="124">
        <f>IF($J$18="NO",0,Q36)</f>
        <v>0</v>
      </c>
      <c r="R37" s="55"/>
    </row>
    <row r="38" spans="2:19">
      <c r="B38" s="40"/>
      <c r="C38" s="47"/>
      <c r="D38" s="47"/>
      <c r="E38" s="48"/>
      <c r="F38" s="48"/>
      <c r="G38" s="125" t="s">
        <v>4</v>
      </c>
      <c r="H38" s="126">
        <f>H35+H36-H37</f>
        <v>1105545.5038277199</v>
      </c>
      <c r="I38" s="55"/>
      <c r="L38" s="47"/>
      <c r="M38" s="47"/>
      <c r="N38" s="48"/>
      <c r="O38" s="48"/>
      <c r="P38" s="125" t="s">
        <v>4</v>
      </c>
      <c r="Q38" s="126">
        <f>Q35+Q36-Q37</f>
        <v>1106295.7918277199</v>
      </c>
      <c r="R38" s="55"/>
      <c r="S38" s="150">
        <f>Q38-H38</f>
        <v>750.28799999994226</v>
      </c>
    </row>
    <row r="39" spans="2:19">
      <c r="B39" s="40"/>
      <c r="C39" s="165" t="s">
        <v>75</v>
      </c>
      <c r="D39" s="165"/>
      <c r="E39" s="48"/>
      <c r="F39" s="48"/>
      <c r="G39" s="47"/>
      <c r="H39" s="47"/>
      <c r="I39" s="41"/>
      <c r="L39" s="165" t="s">
        <v>75</v>
      </c>
      <c r="M39" s="165"/>
      <c r="N39" s="48"/>
      <c r="O39" s="48"/>
      <c r="P39" s="47"/>
      <c r="Q39" s="47"/>
      <c r="R39" s="41"/>
    </row>
    <row r="40" spans="2:19">
      <c r="B40" s="40"/>
      <c r="C40" s="57" t="e" cm="1">
        <f t="array" aca="1" ref="C40" ca="1">[1]!cMoneda2(H38,"PESO","PESOS",,"M.N.")</f>
        <v>#NAME?</v>
      </c>
      <c r="D40" s="41"/>
      <c r="E40" s="48"/>
      <c r="F40" s="48"/>
      <c r="G40" s="47"/>
      <c r="H40" s="47"/>
      <c r="I40" s="41"/>
      <c r="L40" s="57" t="e" cm="1">
        <f t="array" aca="1" ref="L40" ca="1">[1]!cMoneda2(Q38,"PESO","PESOS",,"M.N.")</f>
        <v>#NAME?</v>
      </c>
      <c r="M40" s="41"/>
      <c r="N40" s="48"/>
      <c r="O40" s="48"/>
      <c r="P40" s="47"/>
      <c r="Q40" s="47"/>
      <c r="R40" s="41"/>
    </row>
    <row r="41" spans="2:19">
      <c r="B41" s="40"/>
      <c r="C41" s="47"/>
      <c r="D41" s="47"/>
      <c r="E41" s="48"/>
      <c r="F41" s="48"/>
      <c r="G41" s="47"/>
      <c r="H41" s="47"/>
      <c r="I41" s="41"/>
      <c r="L41" s="47"/>
      <c r="M41" s="47"/>
      <c r="N41" s="48"/>
      <c r="O41" s="48"/>
      <c r="P41" s="47"/>
      <c r="Q41" s="47"/>
      <c r="R41" s="41"/>
    </row>
    <row r="42" spans="2:19" ht="21" customHeight="1">
      <c r="B42" s="40"/>
      <c r="C42" s="49" t="str">
        <f>C4</f>
        <v>ELSY GUADALUPE SOSA CHAVEZ</v>
      </c>
      <c r="D42" s="57"/>
      <c r="E42" s="58"/>
      <c r="F42" s="49"/>
      <c r="G42" s="49" t="str">
        <f>G10</f>
        <v>CELESTE DE LA CRUZ ROJAS RAMIREZ</v>
      </c>
      <c r="H42" s="49"/>
      <c r="I42" s="49"/>
      <c r="L42" s="49" t="str">
        <f>L4</f>
        <v>ALVARO RESENDIZ GALLEGOS</v>
      </c>
      <c r="M42" s="57"/>
      <c r="N42" s="58"/>
      <c r="O42" s="49"/>
      <c r="P42" s="49" t="str">
        <f>P10</f>
        <v>ELSY GUADALUPE SOSA CHAVEZ</v>
      </c>
      <c r="Q42" s="49"/>
      <c r="R42" s="49"/>
    </row>
    <row r="43" spans="2:19">
      <c r="B43" s="40"/>
      <c r="C43" s="47"/>
      <c r="D43" s="47"/>
      <c r="E43" s="48"/>
      <c r="F43" s="48"/>
      <c r="G43" s="47"/>
      <c r="H43" s="47"/>
      <c r="I43" s="41"/>
      <c r="L43" s="47"/>
      <c r="M43" s="47"/>
      <c r="N43" s="48"/>
      <c r="O43" s="48"/>
      <c r="P43" s="47"/>
      <c r="Q43" s="47"/>
      <c r="R43" s="41"/>
    </row>
    <row r="44" spans="2:19">
      <c r="B44" s="40"/>
      <c r="C44" s="47"/>
      <c r="D44" s="47"/>
      <c r="E44" s="48"/>
      <c r="F44" s="48"/>
      <c r="G44" s="47"/>
      <c r="H44" s="47"/>
      <c r="I44" s="41"/>
      <c r="L44" s="47"/>
      <c r="M44" s="47"/>
      <c r="N44" s="48"/>
      <c r="O44" s="48"/>
      <c r="P44" s="47"/>
      <c r="Q44" s="47"/>
      <c r="R44" s="41"/>
    </row>
    <row r="45" spans="2:19">
      <c r="B45" s="40"/>
      <c r="C45" s="47" t="s">
        <v>83</v>
      </c>
      <c r="D45" s="47"/>
      <c r="E45" s="48"/>
      <c r="F45" s="48"/>
      <c r="G45" s="47" t="s">
        <v>83</v>
      </c>
      <c r="H45" s="47"/>
      <c r="I45" s="41"/>
      <c r="L45" s="47" t="s">
        <v>83</v>
      </c>
      <c r="M45" s="47"/>
      <c r="N45" s="48"/>
      <c r="O45" s="48"/>
      <c r="P45" s="47" t="s">
        <v>83</v>
      </c>
      <c r="Q45" s="47"/>
      <c r="R45" s="41"/>
    </row>
    <row r="46" spans="2:19">
      <c r="B46" s="40"/>
      <c r="C46" s="47" t="s">
        <v>82</v>
      </c>
      <c r="D46" s="47"/>
      <c r="E46" s="48"/>
      <c r="F46" s="48"/>
      <c r="G46" s="47" t="s">
        <v>84</v>
      </c>
      <c r="H46" s="47"/>
      <c r="I46" s="41"/>
      <c r="L46" s="47" t="s">
        <v>82</v>
      </c>
      <c r="M46" s="47"/>
      <c r="N46" s="48"/>
      <c r="O46" s="48"/>
      <c r="P46" s="47" t="s">
        <v>84</v>
      </c>
      <c r="Q46" s="47"/>
      <c r="R46" s="41"/>
    </row>
    <row r="47" spans="2:19">
      <c r="B47" s="40"/>
      <c r="C47" s="41"/>
      <c r="D47" s="41"/>
      <c r="E47" s="42"/>
      <c r="F47" s="42"/>
      <c r="G47" s="41"/>
      <c r="H47" s="41"/>
      <c r="I47" s="41"/>
      <c r="L47" s="41"/>
      <c r="M47" s="41"/>
      <c r="N47" s="42"/>
      <c r="O47" s="42"/>
      <c r="P47" s="41"/>
      <c r="Q47" s="41"/>
      <c r="R47" s="41"/>
    </row>
    <row r="48" spans="2:19">
      <c r="B48" s="40"/>
      <c r="C48" s="56" t="s">
        <v>78</v>
      </c>
      <c r="D48" s="47" t="s">
        <v>81</v>
      </c>
      <c r="E48" s="42"/>
      <c r="F48" s="42"/>
      <c r="G48" s="40"/>
      <c r="H48" s="40"/>
      <c r="I48" s="41"/>
      <c r="L48" s="56" t="s">
        <v>78</v>
      </c>
      <c r="M48" s="47" t="s">
        <v>81</v>
      </c>
      <c r="N48" s="42"/>
      <c r="O48" s="42"/>
      <c r="P48" s="40"/>
      <c r="Q48" s="40"/>
      <c r="R48" s="41"/>
    </row>
    <row r="49" spans="2:18">
      <c r="B49" s="40"/>
      <c r="C49" s="47"/>
      <c r="D49" s="47" t="s">
        <v>79</v>
      </c>
      <c r="E49" s="42"/>
      <c r="F49" s="42"/>
      <c r="G49" s="40"/>
      <c r="H49" s="40"/>
      <c r="I49" s="41"/>
      <c r="L49" s="47"/>
      <c r="M49" s="47" t="s">
        <v>79</v>
      </c>
      <c r="N49" s="42"/>
      <c r="O49" s="42"/>
      <c r="P49" s="40"/>
      <c r="Q49" s="40"/>
      <c r="R49" s="41"/>
    </row>
    <row r="50" spans="2:18">
      <c r="B50" s="40"/>
      <c r="C50" s="47"/>
      <c r="D50" s="47" t="s">
        <v>80</v>
      </c>
      <c r="E50" s="42"/>
      <c r="F50" s="42"/>
      <c r="G50" s="40"/>
      <c r="H50" s="40"/>
      <c r="I50" s="41"/>
      <c r="L50" s="47"/>
      <c r="M50" s="47" t="s">
        <v>80</v>
      </c>
      <c r="N50" s="42"/>
      <c r="O50" s="42"/>
      <c r="P50" s="40"/>
      <c r="Q50" s="40"/>
      <c r="R50" s="41"/>
    </row>
    <row r="51" spans="2:18">
      <c r="B51" s="40"/>
      <c r="C51" s="47"/>
      <c r="D51" s="47"/>
      <c r="E51" s="48"/>
      <c r="F51" s="48"/>
      <c r="G51" s="47"/>
      <c r="H51" s="47"/>
      <c r="I51" s="41"/>
      <c r="L51" s="47"/>
      <c r="M51" s="47"/>
      <c r="N51" s="48"/>
      <c r="O51" s="48"/>
      <c r="P51" s="47"/>
      <c r="Q51" s="47"/>
      <c r="R51" s="41"/>
    </row>
    <row r="52" spans="2:18">
      <c r="B52" s="40"/>
      <c r="C52" s="64" t="s">
        <v>166</v>
      </c>
      <c r="D52" s="47"/>
      <c r="E52" s="48"/>
      <c r="F52" s="48"/>
      <c r="G52" s="47"/>
      <c r="H52" s="47"/>
      <c r="I52" s="41"/>
      <c r="L52" s="64" t="s">
        <v>166</v>
      </c>
      <c r="M52" s="47"/>
      <c r="N52" s="48"/>
      <c r="O52" s="48"/>
      <c r="P52" s="47"/>
      <c r="Q52" s="47"/>
      <c r="R52" s="41"/>
    </row>
    <row r="53" spans="2:18">
      <c r="B53" s="40"/>
      <c r="C53" s="64" t="s">
        <v>172</v>
      </c>
      <c r="D53" s="47"/>
      <c r="E53" s="48"/>
      <c r="F53" s="48"/>
      <c r="G53" s="47"/>
      <c r="H53" s="47"/>
      <c r="I53" s="41"/>
      <c r="L53" s="64" t="s">
        <v>172</v>
      </c>
      <c r="M53" s="47"/>
      <c r="N53" s="48"/>
      <c r="O53" s="48"/>
      <c r="P53" s="47"/>
      <c r="Q53" s="47"/>
      <c r="R53" s="41"/>
    </row>
    <row r="54" spans="2:18">
      <c r="B54" s="40"/>
      <c r="C54" s="64" t="s">
        <v>174</v>
      </c>
      <c r="D54" s="47"/>
      <c r="E54" s="48"/>
      <c r="F54" s="48"/>
      <c r="G54" s="47"/>
      <c r="H54" s="47"/>
      <c r="I54" s="41"/>
      <c r="L54" s="64" t="s">
        <v>174</v>
      </c>
      <c r="M54" s="47"/>
      <c r="N54" s="48"/>
      <c r="O54" s="48"/>
      <c r="P54" s="47"/>
      <c r="Q54" s="47"/>
      <c r="R54" s="41"/>
    </row>
    <row r="55" spans="2:18">
      <c r="B55" s="40"/>
      <c r="C55" s="64" t="s">
        <v>173</v>
      </c>
      <c r="D55" s="41"/>
      <c r="E55" s="42"/>
      <c r="F55" s="42"/>
      <c r="G55" s="41"/>
      <c r="H55" s="41"/>
      <c r="I55" s="41"/>
      <c r="L55" s="64" t="s">
        <v>173</v>
      </c>
      <c r="M55" s="41"/>
      <c r="N55" s="42"/>
      <c r="O55" s="42"/>
      <c r="P55" s="41"/>
      <c r="Q55" s="41"/>
      <c r="R55" s="41"/>
    </row>
    <row r="56" spans="2:18">
      <c r="B56" s="40"/>
      <c r="C56" s="47"/>
      <c r="D56" s="47"/>
      <c r="E56" s="48"/>
      <c r="F56" s="48"/>
      <c r="G56" s="47"/>
      <c r="H56" s="47"/>
      <c r="I56" s="41"/>
      <c r="L56" s="47"/>
      <c r="M56" s="47"/>
      <c r="N56" s="48"/>
      <c r="O56" s="48"/>
      <c r="P56" s="47"/>
      <c r="Q56" s="47"/>
      <c r="R56" s="41"/>
    </row>
    <row r="57" spans="2:18">
      <c r="B57" s="40"/>
      <c r="C57" s="59"/>
      <c r="D57" s="59"/>
      <c r="E57" s="60"/>
      <c r="F57" s="60"/>
      <c r="G57" s="59"/>
      <c r="H57" s="61"/>
      <c r="I57" s="62"/>
      <c r="L57" s="59"/>
      <c r="M57" s="59"/>
      <c r="N57" s="60"/>
      <c r="O57" s="60"/>
      <c r="P57" s="59"/>
      <c r="Q57" s="61"/>
      <c r="R57" s="62"/>
    </row>
    <row r="58" spans="2:18">
      <c r="B58" s="170"/>
      <c r="C58" s="170"/>
      <c r="D58" s="170"/>
      <c r="E58" s="170"/>
      <c r="F58" s="170"/>
      <c r="G58" s="170"/>
      <c r="H58" s="170"/>
      <c r="I58" s="170"/>
      <c r="L58"/>
      <c r="M58"/>
      <c r="N58"/>
      <c r="O58"/>
      <c r="P58"/>
      <c r="Q58"/>
      <c r="R58"/>
    </row>
    <row r="59" spans="2:18" ht="21" customHeight="1">
      <c r="B59" s="170"/>
      <c r="C59" s="170"/>
      <c r="D59" s="170"/>
      <c r="E59" s="170"/>
      <c r="F59" s="170"/>
      <c r="G59" s="170"/>
      <c r="H59" s="170"/>
      <c r="I59" s="170"/>
      <c r="L59"/>
      <c r="M59"/>
      <c r="N59"/>
      <c r="O59"/>
      <c r="P59"/>
      <c r="Q59"/>
      <c r="R59"/>
    </row>
    <row r="60" spans="2:18" ht="21" customHeight="1"/>
  </sheetData>
  <dataConsolidate/>
  <mergeCells count="21">
    <mergeCell ref="H1:I1"/>
    <mergeCell ref="B58:I59"/>
    <mergeCell ref="C39:D39"/>
    <mergeCell ref="C6:G6"/>
    <mergeCell ref="C17:D17"/>
    <mergeCell ref="C18:D18"/>
    <mergeCell ref="F12:H13"/>
    <mergeCell ref="H3:I3"/>
    <mergeCell ref="C7:G7"/>
    <mergeCell ref="C16:D16"/>
    <mergeCell ref="C1:E3"/>
    <mergeCell ref="L1:N3"/>
    <mergeCell ref="Q1:R1"/>
    <mergeCell ref="Q3:R3"/>
    <mergeCell ref="L6:P6"/>
    <mergeCell ref="L7:P7"/>
    <mergeCell ref="O12:Q13"/>
    <mergeCell ref="L16:M16"/>
    <mergeCell ref="L17:M17"/>
    <mergeCell ref="L18:M18"/>
    <mergeCell ref="L39:M39"/>
  </mergeCells>
  <pageMargins left="0.70866141732283472" right="0.70866141732283472" top="0.74803149606299213" bottom="0.74803149606299213" header="0.31496062992125984" footer="0.31496062992125984"/>
  <pageSetup scale="42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CONCEPTOS!$E$2:$E$3</xm:f>
          </x14:formula1>
          <xm:sqref>E16 N16</xm:sqref>
        </x14:dataValidation>
        <x14:dataValidation type="list" allowBlank="1" showInputMessage="1" showErrorMessage="1" xr:uid="{00000000-0002-0000-0000-000003000000}">
          <x14:formula1>
            <xm:f>CONCEPTOS!$G$3:$G$23</xm:f>
          </x14:formula1>
          <xm:sqref>E17 N17</xm:sqref>
        </x14:dataValidation>
        <x14:dataValidation type="list" allowBlank="1" showInputMessage="1" showErrorMessage="1" xr:uid="{00000000-0002-0000-0000-000008000000}">
          <x14:formula1>
            <xm:f>CONCEPTOS!$A$2:$A$54</xm:f>
          </x14:formula1>
          <xm:sqref>O21:O34 F21:F34</xm:sqref>
        </x14:dataValidation>
        <x14:dataValidation type="list" allowBlank="1" showInputMessage="1" showErrorMessage="1" xr:uid="{00000000-0002-0000-0000-000002000000}">
          <x14:formula1>
            <xm:f>CONCEPTOS!$E$4:$E$5</xm:f>
          </x14:formula1>
          <xm:sqref>E18 N18</xm:sqref>
        </x14:dataValidation>
        <x14:dataValidation type="list" allowBlank="1" showInputMessage="1" showErrorMessage="1" xr:uid="{35FDB542-41A0-491C-991B-954A8C834FB5}">
          <x14:formula1>
            <xm:f>CONCEPTOS!$I$19:$I$32</xm:f>
          </x14:formula1>
          <xm:sqref>L4</xm:sqref>
        </x14:dataValidation>
        <x14:dataValidation type="list" allowBlank="1" showInputMessage="1" showErrorMessage="1" xr:uid="{F23808A3-E685-4200-899D-7214DCC8C9F0}">
          <x14:formula1>
            <xm:f>CONCEPTOS!$P$2:$P$15</xm:f>
          </x14:formula1>
          <xm:sqref>Q11</xm:sqref>
        </x14:dataValidation>
        <x14:dataValidation type="list" allowBlank="1" showInputMessage="1" showErrorMessage="1" xr:uid="{E4B7B0C3-A1CB-4A84-A574-352E93EEC095}">
          <x14:formula1>
            <xm:f>CONCEPTOS!$E$6:$E$7</xm:f>
          </x14:formula1>
          <xm:sqref>J18</xm:sqref>
        </x14:dataValidation>
        <x14:dataValidation type="list" allowBlank="1" showInputMessage="1" showErrorMessage="1" xr:uid="{BABBD0AB-63E9-491D-837F-F48EC0608432}">
          <x14:formula1>
            <xm:f>CONCEPTOS!$I$2:$I$15</xm:f>
          </x14:formula1>
          <xm:sqref>C4</xm:sqref>
        </x14:dataValidation>
        <x14:dataValidation type="list" allowBlank="1" showInputMessage="1" showErrorMessage="1" xr:uid="{EE076A94-C51D-4E8A-BF5F-60C5407DDB07}">
          <x14:formula1>
            <xm:f>CONCEPTOS!$P$2:$P$40</xm:f>
          </x14:formula1>
          <xm:sqref>H11</xm:sqref>
        </x14:dataValidation>
        <x14:dataValidation type="list" allowBlank="1" showInputMessage="1" showErrorMessage="1" xr:uid="{8FC15553-C9F6-41C9-99F0-C1A40ACDE3FE}">
          <x14:formula1>
            <xm:f>CONCEPTOS!$N$2:$N$14</xm:f>
          </x14:formula1>
          <xm:sqref>G10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7CCD8-C0D7-4756-8071-E62DDAEF381D}">
  <sheetPr>
    <tabColor theme="4" tint="-0.249977111117893"/>
    <pageSetUpPr fitToPage="1"/>
  </sheetPr>
  <dimension ref="A1:AA50"/>
  <sheetViews>
    <sheetView showGridLines="0" topLeftCell="F1" zoomScale="60" zoomScaleNormal="60" zoomScaleSheetLayoutView="40" workbookViewId="0">
      <selection activeCell="L7" sqref="L7"/>
    </sheetView>
  </sheetViews>
  <sheetFormatPr baseColWidth="10" defaultRowHeight="21"/>
  <cols>
    <col min="2" max="2" width="7.109375" style="36" customWidth="1"/>
    <col min="3" max="3" width="21.6640625" style="39" customWidth="1"/>
    <col min="4" max="4" width="20.88671875" style="39" customWidth="1"/>
    <col min="5" max="5" width="25" style="38" customWidth="1"/>
    <col min="6" max="6" width="72.5546875" style="38" customWidth="1"/>
    <col min="7" max="7" width="25.109375" style="39" customWidth="1"/>
    <col min="8" max="8" width="30.6640625" style="39" customWidth="1"/>
    <col min="9" max="9" width="9.33203125" style="37" customWidth="1"/>
    <col min="10" max="10" width="18.109375" style="1" bestFit="1" customWidth="1"/>
    <col min="11" max="11" width="13.44140625" style="65" bestFit="1" customWidth="1"/>
    <col min="13" max="13" width="23.6640625" customWidth="1"/>
  </cols>
  <sheetData>
    <row r="1" spans="1:17" ht="23.25" customHeight="1">
      <c r="C1" s="171" t="s">
        <v>0</v>
      </c>
      <c r="D1" s="171"/>
      <c r="E1" s="171"/>
      <c r="F1" s="117"/>
      <c r="G1" s="95" t="str">
        <f>'ORDEN DE COMPRA'!G1</f>
        <v>CARGA</v>
      </c>
      <c r="H1" s="175">
        <f>'ORDEN DE COMPRA'!H1</f>
        <v>46195</v>
      </c>
      <c r="I1" s="175"/>
      <c r="J1" s="3"/>
    </row>
    <row r="2" spans="1:17" ht="21.75" customHeight="1">
      <c r="C2" s="171"/>
      <c r="D2" s="171"/>
      <c r="E2" s="171"/>
      <c r="F2" s="117"/>
      <c r="G2" s="95" t="str">
        <f>'ORDEN DE COMPRA'!G2</f>
        <v>OC.696/E640</v>
      </c>
      <c r="H2" s="96"/>
      <c r="I2" s="96"/>
      <c r="J2" s="3"/>
    </row>
    <row r="3" spans="1:17" ht="24.75" customHeight="1">
      <c r="C3" s="171"/>
      <c r="D3" s="171"/>
      <c r="E3" s="171"/>
      <c r="F3" s="117"/>
      <c r="G3" s="95" t="s">
        <v>1</v>
      </c>
      <c r="H3" s="172">
        <f ca="1">NOW()</f>
        <v>46206.632248148147</v>
      </c>
      <c r="I3" s="172"/>
      <c r="J3" s="3"/>
    </row>
    <row r="4" spans="1:17" ht="25.2">
      <c r="B4" s="40"/>
      <c r="C4" s="41"/>
      <c r="D4" s="41"/>
      <c r="E4" s="48"/>
      <c r="F4" s="48"/>
      <c r="G4" s="47"/>
      <c r="H4" s="91" t="s">
        <v>76</v>
      </c>
      <c r="I4" s="41"/>
      <c r="J4" s="42"/>
      <c r="K4" s="49"/>
      <c r="L4" s="49"/>
      <c r="M4" s="41"/>
    </row>
    <row r="5" spans="1:17" ht="24" customHeight="1">
      <c r="B5" s="40"/>
      <c r="G5" s="174" t="str">
        <f>'ORDEN DE COMPRA'!H11</f>
        <v>RODRIGO CALDERA</v>
      </c>
      <c r="H5" s="174"/>
      <c r="I5" s="49"/>
      <c r="J5" s="49"/>
      <c r="K5" s="42"/>
      <c r="L5" s="41"/>
      <c r="M5" s="41"/>
    </row>
    <row r="6" spans="1:17" ht="22.5" customHeight="1">
      <c r="B6" s="40"/>
      <c r="F6" s="45"/>
      <c r="G6" s="173"/>
      <c r="H6" s="173"/>
      <c r="I6" s="41"/>
      <c r="J6" s="42"/>
      <c r="K6" s="47"/>
      <c r="L6" s="47" t="s">
        <v>182</v>
      </c>
      <c r="M6" s="47"/>
    </row>
    <row r="7" spans="1:17" ht="18.75" customHeight="1">
      <c r="B7" s="40"/>
      <c r="F7" s="163"/>
      <c r="G7" s="163"/>
      <c r="H7" s="163"/>
      <c r="I7" s="88"/>
      <c r="J7" s="88"/>
      <c r="K7" s="88"/>
      <c r="L7" s="88"/>
      <c r="M7" s="88"/>
    </row>
    <row r="8" spans="1:17" ht="40.5" customHeight="1">
      <c r="B8" s="40"/>
      <c r="F8" s="163"/>
      <c r="G8" s="163"/>
      <c r="H8" s="163"/>
      <c r="I8" s="41"/>
      <c r="J8" s="47"/>
      <c r="K8" s="47"/>
      <c r="L8" s="41"/>
      <c r="M8" s="41"/>
    </row>
    <row r="9" spans="1:17" ht="21" customHeight="1">
      <c r="B9" s="40"/>
      <c r="F9" s="45"/>
      <c r="G9" s="45"/>
      <c r="H9" s="45"/>
      <c r="I9" s="41"/>
    </row>
    <row r="10" spans="1:17" ht="21" customHeight="1">
      <c r="B10" s="40"/>
      <c r="F10" s="47"/>
      <c r="G10" s="41"/>
      <c r="H10" s="41"/>
      <c r="I10" s="41"/>
    </row>
    <row r="11" spans="1:17" ht="21" customHeight="1">
      <c r="B11" s="40"/>
      <c r="C11" s="164" t="s">
        <v>161</v>
      </c>
      <c r="D11" s="164"/>
      <c r="E11" s="45" t="s">
        <v>158</v>
      </c>
      <c r="I11" s="41"/>
    </row>
    <row r="12" spans="1:17" ht="21" customHeight="1">
      <c r="B12" s="40"/>
      <c r="C12" s="164" t="s">
        <v>134</v>
      </c>
      <c r="D12" s="164"/>
      <c r="E12" s="45" t="s">
        <v>152</v>
      </c>
      <c r="I12" s="41"/>
    </row>
    <row r="13" spans="1:17" ht="21" customHeight="1" thickBot="1">
      <c r="B13" s="40"/>
      <c r="C13" s="164" t="s">
        <v>135</v>
      </c>
      <c r="D13" s="164"/>
      <c r="E13" s="45"/>
      <c r="I13" s="41"/>
    </row>
    <row r="14" spans="1:17">
      <c r="B14" s="40"/>
      <c r="C14" s="47"/>
      <c r="D14" s="47"/>
      <c r="E14" s="48"/>
      <c r="F14" s="48"/>
      <c r="G14" s="47"/>
      <c r="H14" s="47"/>
      <c r="I14" s="41"/>
      <c r="L14" s="66"/>
      <c r="M14" s="67">
        <f>M15/1.16</f>
        <v>137014.50862068965</v>
      </c>
      <c r="N14" s="68"/>
      <c r="O14" s="68"/>
      <c r="P14" s="68"/>
      <c r="Q14" s="69"/>
    </row>
    <row r="15" spans="1:17" ht="40.799999999999997">
      <c r="A15" s="2"/>
      <c r="B15" s="50"/>
      <c r="C15" s="102" t="s">
        <v>2</v>
      </c>
      <c r="D15" s="102" t="s">
        <v>3</v>
      </c>
      <c r="E15" s="102" t="s">
        <v>8</v>
      </c>
      <c r="F15" s="97" t="s">
        <v>164</v>
      </c>
      <c r="G15" s="97" t="s">
        <v>77</v>
      </c>
      <c r="H15" s="102" t="s">
        <v>4</v>
      </c>
      <c r="I15" s="51"/>
      <c r="J15" s="2"/>
      <c r="K15" s="2"/>
      <c r="L15" s="70" t="s">
        <v>168</v>
      </c>
      <c r="M15" s="71">
        <v>158936.82999999999</v>
      </c>
      <c r="Q15" s="72"/>
    </row>
    <row r="16" spans="1:17" s="2" customFormat="1">
      <c r="A16" s="87"/>
      <c r="B16" s="82"/>
      <c r="C16" s="114">
        <f>'ORDEN DE COMPRA'!C21</f>
        <v>11191610</v>
      </c>
      <c r="D16" s="115">
        <f>IF('ORDEN DE COMPRA'!D21="","",'ORDEN DE COMPRA'!D21)</f>
        <v>7485</v>
      </c>
      <c r="E16" s="115" t="str">
        <f>IF('ORDEN DE COMPRA'!E21="","",'ORDEN DE COMPRA'!E21)</f>
        <v>KGM</v>
      </c>
      <c r="F16" s="116" t="str">
        <f>IF('ORDEN DE COMPRA'!F21="","",'ORDEN DE COMPRA'!F21)</f>
        <v>ALUMINIO 1100 TRASTE</v>
      </c>
      <c r="G16" s="127">
        <f>IF('ORDEN DE COMPRA'!J21="","",'ORDEN DE COMPRA'!J21)</f>
        <v>43</v>
      </c>
      <c r="H16" s="141">
        <f>D16*G16</f>
        <v>321855</v>
      </c>
      <c r="I16" s="84"/>
      <c r="J16" s="85"/>
      <c r="K16" s="86"/>
      <c r="L16" s="73"/>
      <c r="M16" s="81">
        <f>M15/20.9</f>
        <v>7604.6330143540672</v>
      </c>
      <c r="Q16" s="74"/>
    </row>
    <row r="17" spans="1:23" s="2" customFormat="1">
      <c r="A17" s="87"/>
      <c r="B17" s="82"/>
      <c r="C17" s="114">
        <f>'ORDEN DE COMPRA'!C22</f>
        <v>11191610</v>
      </c>
      <c r="D17" s="115">
        <f>IF('ORDEN DE COMPRA'!D22="","",'ORDEN DE COMPRA'!D22)</f>
        <v>1638</v>
      </c>
      <c r="E17" s="115" t="str">
        <f>IF('ORDEN DE COMPRA'!E22="","",'ORDEN DE COMPRA'!E22)</f>
        <v>KGM</v>
      </c>
      <c r="F17" s="116" t="str">
        <f>IF('ORDEN DE COMPRA'!F22="","",'ORDEN DE COMPRA'!F22)</f>
        <v>ALUMINIO CABLE</v>
      </c>
      <c r="G17" s="127">
        <f>IF('ORDEN DE COMPRA'!J22="","",'ORDEN DE COMPRA'!J22)</f>
        <v>73</v>
      </c>
      <c r="H17" s="141">
        <f t="shared" ref="H17:H20" si="0">D17*G17</f>
        <v>119574</v>
      </c>
      <c r="I17" s="84"/>
      <c r="J17" s="85"/>
      <c r="K17" s="86"/>
      <c r="L17" s="73"/>
      <c r="M17" s="81"/>
      <c r="Q17" s="74"/>
      <c r="W17" s="2" t="s">
        <v>163</v>
      </c>
    </row>
    <row r="18" spans="1:23">
      <c r="B18" s="40"/>
      <c r="C18" s="114">
        <f>'ORDEN DE COMPRA'!C23</f>
        <v>11191610</v>
      </c>
      <c r="D18" s="115">
        <f>IF('ORDEN DE COMPRA'!D23="","",'ORDEN DE COMPRA'!D23)</f>
        <v>4683</v>
      </c>
      <c r="E18" s="115" t="str">
        <f>IF('ORDEN DE COMPRA'!E23="","",'ORDEN DE COMPRA'!E23)</f>
        <v>KGM</v>
      </c>
      <c r="F18" s="116" t="str">
        <f>IF('ORDEN DE COMPRA'!F23="","",'ORDEN DE COMPRA'!F23)</f>
        <v>ALUMINIO RIN CHICO</v>
      </c>
      <c r="G18" s="127">
        <f>IF('ORDEN DE COMPRA'!J23="","",'ORDEN DE COMPRA'!J23)</f>
        <v>69.5</v>
      </c>
      <c r="H18" s="141">
        <f t="shared" si="0"/>
        <v>325468.5</v>
      </c>
      <c r="I18" s="52"/>
      <c r="L18" s="70"/>
      <c r="M18" s="71"/>
      <c r="Q18" s="72"/>
    </row>
    <row r="19" spans="1:23">
      <c r="B19" s="40"/>
      <c r="C19" s="114">
        <f>'ORDEN DE COMPRA'!C24</f>
        <v>11191610</v>
      </c>
      <c r="D19" s="115">
        <f>IF('ORDEN DE COMPRA'!D24="","",'ORDEN DE COMPRA'!D24)</f>
        <v>5924</v>
      </c>
      <c r="E19" s="115" t="str">
        <f>IF('ORDEN DE COMPRA'!E24="","",'ORDEN DE COMPRA'!E24)</f>
        <v>KGM</v>
      </c>
      <c r="F19" s="116" t="str">
        <f>IF('ORDEN DE COMPRA'!F24="","",'ORDEN DE COMPRA'!F24)</f>
        <v>ALUMINIO MACIZO</v>
      </c>
      <c r="G19" s="127">
        <f>IF('ORDEN DE COMPRA'!J24="","",'ORDEN DE COMPRA'!J24)</f>
        <v>44.5</v>
      </c>
      <c r="H19" s="141">
        <f t="shared" si="0"/>
        <v>263618</v>
      </c>
      <c r="I19" s="52"/>
      <c r="L19" s="70"/>
      <c r="M19" t="s">
        <v>167</v>
      </c>
      <c r="Q19" s="72"/>
    </row>
    <row r="20" spans="1:23">
      <c r="B20" s="40"/>
      <c r="C20" s="114">
        <f>'ORDEN DE COMPRA'!C25</f>
        <v>11191610</v>
      </c>
      <c r="D20" s="115">
        <f>IF('ORDEN DE COMPRA'!D25="","",'ORDEN DE COMPRA'!D25)</f>
        <v>1830</v>
      </c>
      <c r="E20" s="115" t="str">
        <f>IF('ORDEN DE COMPRA'!E25="","",'ORDEN DE COMPRA'!E25)</f>
        <v>KGM</v>
      </c>
      <c r="F20" s="116" t="str">
        <f>IF('ORDEN DE COMPRA'!F25="","",'ORDEN DE COMPRA'!F25)</f>
        <v>ANTIMONIO</v>
      </c>
      <c r="G20" s="127">
        <f>IF('ORDEN DE COMPRA'!J25="","",'ORDEN DE COMPRA'!J25)</f>
        <v>41</v>
      </c>
      <c r="H20" s="141">
        <f t="shared" si="0"/>
        <v>75030</v>
      </c>
      <c r="I20" s="52"/>
      <c r="J20" s="90"/>
      <c r="L20" s="70"/>
      <c r="M20" s="75">
        <v>9197.2000000000007</v>
      </c>
      <c r="Q20" s="72"/>
    </row>
    <row r="21" spans="1:23">
      <c r="B21" s="40"/>
      <c r="C21" s="114" t="str">
        <f>'ORDEN DE COMPRA'!C26</f>
        <v/>
      </c>
      <c r="D21" s="115" t="str">
        <f>IF('ORDEN DE COMPRA'!D26="","",'ORDEN DE COMPRA'!D26)</f>
        <v/>
      </c>
      <c r="E21" s="115" t="str">
        <f>IF('ORDEN DE COMPRA'!E26="","",'ORDEN DE COMPRA'!E26)</f>
        <v/>
      </c>
      <c r="F21" s="116" t="str">
        <f>IF('ORDEN DE COMPRA'!F26="","",'ORDEN DE COMPRA'!F26)</f>
        <v/>
      </c>
      <c r="G21" s="127" t="str">
        <f>IF('ORDEN DE COMPRA'!J26="","",'ORDEN DE COMPRA'!J26)</f>
        <v/>
      </c>
      <c r="H21" s="142"/>
      <c r="I21" s="52"/>
      <c r="J21" s="90"/>
      <c r="L21" s="70"/>
      <c r="M21" s="71"/>
      <c r="Q21" s="72"/>
    </row>
    <row r="22" spans="1:23">
      <c r="B22" s="40"/>
      <c r="C22" s="114" t="str">
        <f>'ORDEN DE COMPRA'!C27</f>
        <v/>
      </c>
      <c r="D22" s="115" t="str">
        <f>IF('ORDEN DE COMPRA'!D27="","",'ORDEN DE COMPRA'!D27)</f>
        <v/>
      </c>
      <c r="E22" s="115" t="str">
        <f>IF('ORDEN DE COMPRA'!E27="","",'ORDEN DE COMPRA'!E27)</f>
        <v/>
      </c>
      <c r="F22" s="116" t="str">
        <f>IF('ORDEN DE COMPRA'!F27="","",'ORDEN DE COMPRA'!F27)</f>
        <v/>
      </c>
      <c r="G22" s="127" t="str">
        <f>IF('ORDEN DE COMPRA'!J27="","",'ORDEN DE COMPRA'!J27)</f>
        <v/>
      </c>
      <c r="H22" s="142"/>
      <c r="I22" s="52"/>
      <c r="L22" s="70"/>
      <c r="M22" s="76">
        <f>M20-D16</f>
        <v>1712.2000000000007</v>
      </c>
      <c r="N22" t="s">
        <v>169</v>
      </c>
      <c r="Q22" s="72"/>
    </row>
    <row r="23" spans="1:23" ht="21.6" thickBot="1">
      <c r="B23" s="40"/>
      <c r="C23" s="114" t="str">
        <f>'ORDEN DE COMPRA'!C28</f>
        <v/>
      </c>
      <c r="D23" s="115" t="str">
        <f>IF('ORDEN DE COMPRA'!D28="","",'ORDEN DE COMPRA'!D28)</f>
        <v/>
      </c>
      <c r="E23" s="115" t="str">
        <f>IF('ORDEN DE COMPRA'!E28="","",'ORDEN DE COMPRA'!E28)</f>
        <v/>
      </c>
      <c r="F23" s="116" t="str">
        <f>IF('ORDEN DE COMPRA'!F28="","",'ORDEN DE COMPRA'!F28)</f>
        <v/>
      </c>
      <c r="G23" s="127" t="str">
        <f>IF('ORDEN DE COMPRA'!J28="","",'ORDEN DE COMPRA'!J28)</f>
        <v/>
      </c>
      <c r="H23" s="142"/>
      <c r="I23" s="52"/>
      <c r="L23" s="77"/>
      <c r="M23" s="78"/>
      <c r="N23" s="79"/>
      <c r="O23" s="79"/>
      <c r="P23" s="79"/>
      <c r="Q23" s="80"/>
    </row>
    <row r="24" spans="1:23">
      <c r="B24" s="40"/>
      <c r="C24" s="114" t="str">
        <f>'ORDEN DE COMPRA'!C29</f>
        <v/>
      </c>
      <c r="D24" s="115" t="str">
        <f>IF('ORDEN DE COMPRA'!D29="","",'ORDEN DE COMPRA'!D29)</f>
        <v/>
      </c>
      <c r="E24" s="115" t="str">
        <f>IF('ORDEN DE COMPRA'!E29="","",'ORDEN DE COMPRA'!E29)</f>
        <v/>
      </c>
      <c r="F24" s="116" t="str">
        <f>IF('ORDEN DE COMPRA'!F29="","",'ORDEN DE COMPRA'!F29)</f>
        <v/>
      </c>
      <c r="G24" s="127" t="str">
        <f>IF('ORDEN DE COMPRA'!J29="","",'ORDEN DE COMPRA'!J29)</f>
        <v/>
      </c>
      <c r="H24" s="142"/>
      <c r="I24" s="52"/>
    </row>
    <row r="25" spans="1:23">
      <c r="B25" s="40"/>
      <c r="C25" s="114" t="str">
        <f>'ORDEN DE COMPRA'!C30</f>
        <v/>
      </c>
      <c r="D25" s="115" t="str">
        <f>IF('ORDEN DE COMPRA'!D30="","",'ORDEN DE COMPRA'!D30)</f>
        <v/>
      </c>
      <c r="E25" s="115" t="str">
        <f>IF('ORDEN DE COMPRA'!E30="","",'ORDEN DE COMPRA'!E30)</f>
        <v/>
      </c>
      <c r="F25" s="116" t="str">
        <f>IF('ORDEN DE COMPRA'!F30="","",'ORDEN DE COMPRA'!F30)</f>
        <v/>
      </c>
      <c r="G25" s="127" t="str">
        <f>IF('ORDEN DE COMPRA'!J30="","",'ORDEN DE COMPRA'!J30)</f>
        <v/>
      </c>
      <c r="H25" s="142"/>
      <c r="I25" s="52"/>
    </row>
    <row r="26" spans="1:23">
      <c r="B26" s="40"/>
      <c r="C26" s="114" t="str">
        <f>'ORDEN DE COMPRA'!C31</f>
        <v/>
      </c>
      <c r="D26" s="115" t="str">
        <f>IF('ORDEN DE COMPRA'!D31="","",'ORDEN DE COMPRA'!D31)</f>
        <v/>
      </c>
      <c r="E26" s="115" t="str">
        <f>IF('ORDEN DE COMPRA'!E31="","",'ORDEN DE COMPRA'!E31)</f>
        <v/>
      </c>
      <c r="F26" s="116" t="str">
        <f>IF('ORDEN DE COMPRA'!F31="","",'ORDEN DE COMPRA'!F31)</f>
        <v/>
      </c>
      <c r="G26" s="127" t="str">
        <f>IF('ORDEN DE COMPRA'!J31="","",'ORDEN DE COMPRA'!J31)</f>
        <v/>
      </c>
      <c r="H26" s="142" t="s">
        <v>165</v>
      </c>
      <c r="I26" s="52"/>
    </row>
    <row r="27" spans="1:23">
      <c r="B27" s="40"/>
      <c r="C27" s="114" t="str">
        <f>'ORDEN DE COMPRA'!C32</f>
        <v/>
      </c>
      <c r="D27" s="115" t="str">
        <f>IF('ORDEN DE COMPRA'!D32="","",'ORDEN DE COMPRA'!D32)</f>
        <v/>
      </c>
      <c r="E27" s="115" t="str">
        <f>IF('ORDEN DE COMPRA'!E32="","",'ORDEN DE COMPRA'!E32)</f>
        <v/>
      </c>
      <c r="F27" s="116" t="str">
        <f>IF('ORDEN DE COMPRA'!F32="","",'ORDEN DE COMPRA'!F32)</f>
        <v/>
      </c>
      <c r="G27" s="127" t="str">
        <f>IF('ORDEN DE COMPRA'!J32="","",'ORDEN DE COMPRA'!J32)</f>
        <v/>
      </c>
      <c r="H27" s="142"/>
      <c r="I27" s="52"/>
    </row>
    <row r="28" spans="1:23">
      <c r="B28" s="40"/>
      <c r="C28" s="114" t="str">
        <f>'ORDEN DE COMPRA'!C33</f>
        <v/>
      </c>
      <c r="D28" s="115" t="str">
        <f>IF('ORDEN DE COMPRA'!D33="","",'ORDEN DE COMPRA'!D33)</f>
        <v/>
      </c>
      <c r="E28" s="115" t="str">
        <f>IF('ORDEN DE COMPRA'!E33="","",'ORDEN DE COMPRA'!E33)</f>
        <v/>
      </c>
      <c r="F28" s="116" t="str">
        <f>IF('ORDEN DE COMPRA'!F33="","",'ORDEN DE COMPRA'!F33)</f>
        <v/>
      </c>
      <c r="G28" s="127" t="str">
        <f>IF('ORDEN DE COMPRA'!J33="","",'ORDEN DE COMPRA'!J33)</f>
        <v/>
      </c>
      <c r="H28" s="142"/>
      <c r="I28" s="52"/>
    </row>
    <row r="29" spans="1:23">
      <c r="B29" s="40"/>
      <c r="C29" s="114" t="str">
        <f>'ORDEN DE COMPRA'!C34</f>
        <v/>
      </c>
      <c r="D29" s="115" t="str">
        <f>IF('ORDEN DE COMPRA'!D34="","",'ORDEN DE COMPRA'!D34)</f>
        <v/>
      </c>
      <c r="E29" s="115" t="str">
        <f>IF('ORDEN DE COMPRA'!E34="","",'ORDEN DE COMPRA'!E34)</f>
        <v/>
      </c>
      <c r="F29" s="116" t="str">
        <f>IF('ORDEN DE COMPRA'!F34="","",'ORDEN DE COMPRA'!F34)</f>
        <v/>
      </c>
      <c r="G29" s="127" t="str">
        <f>IF('ORDEN DE COMPRA'!J34="","",'ORDEN DE COMPRA'!J34)</f>
        <v/>
      </c>
      <c r="H29" s="143"/>
      <c r="I29" s="41"/>
    </row>
    <row r="30" spans="1:23">
      <c r="B30" s="40"/>
      <c r="C30" s="96" t="s">
        <v>4</v>
      </c>
      <c r="D30" s="113">
        <f>SUM(D16:D28)</f>
        <v>21560</v>
      </c>
      <c r="E30" s="94"/>
      <c r="F30" s="96"/>
      <c r="G30" s="98"/>
      <c r="H30" s="99">
        <f>SUM(H16:H27)</f>
        <v>1105545.5</v>
      </c>
      <c r="I30" s="54"/>
    </row>
    <row r="31" spans="1:23">
      <c r="B31" s="40"/>
      <c r="C31" s="47"/>
      <c r="D31" s="47"/>
      <c r="E31" s="48"/>
      <c r="F31" s="48"/>
      <c r="G31" s="47"/>
      <c r="H31" s="47"/>
      <c r="I31" s="41"/>
    </row>
    <row r="32" spans="1:23">
      <c r="B32" s="40"/>
      <c r="C32" s="47"/>
      <c r="D32" s="47"/>
      <c r="E32" s="48"/>
      <c r="F32" s="48"/>
      <c r="G32" s="47"/>
      <c r="H32" s="47"/>
      <c r="I32" s="41"/>
    </row>
    <row r="33" spans="1:27">
      <c r="B33" s="40"/>
      <c r="C33" s="47"/>
      <c r="D33" s="47"/>
      <c r="E33" s="48"/>
      <c r="F33" s="48"/>
      <c r="G33" s="100" t="s">
        <v>4</v>
      </c>
      <c r="H33" s="101">
        <f>H30</f>
        <v>1105545.5</v>
      </c>
      <c r="I33" s="55"/>
    </row>
    <row r="34" spans="1:27">
      <c r="B34" s="40"/>
      <c r="C34" s="165" t="s">
        <v>75</v>
      </c>
      <c r="D34" s="165"/>
      <c r="E34" s="48"/>
      <c r="F34" s="48"/>
      <c r="G34" s="47"/>
      <c r="H34" s="47"/>
      <c r="I34" s="41"/>
    </row>
    <row r="35" spans="1:27">
      <c r="B35" s="40"/>
      <c r="C35" s="57" t="str">
        <f>Pesos!C4</f>
        <v>UN MILLON CIENTO   CINCO MIL QUINIENTOS  CUARENTA Y  CINCO PESOS 50/100 M. N.</v>
      </c>
      <c r="D35" s="41"/>
      <c r="E35" s="48"/>
      <c r="F35" s="48"/>
      <c r="G35" s="47"/>
      <c r="H35" s="47"/>
      <c r="I35" s="41"/>
    </row>
    <row r="36" spans="1:27">
      <c r="B36" s="40"/>
      <c r="C36" s="47"/>
      <c r="D36" s="47"/>
      <c r="E36" s="48"/>
      <c r="F36" s="48"/>
      <c r="G36" s="47"/>
      <c r="H36" s="47"/>
      <c r="I36" s="41"/>
    </row>
    <row r="37" spans="1:27" s="1" customFormat="1">
      <c r="A37"/>
      <c r="B37" s="40"/>
      <c r="C37" s="41"/>
      <c r="D37" s="41"/>
      <c r="E37" s="42"/>
      <c r="F37" s="42"/>
      <c r="G37" s="41"/>
      <c r="H37" s="41"/>
      <c r="I37" s="41"/>
      <c r="K37" s="65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</row>
    <row r="38" spans="1:27" s="1" customFormat="1">
      <c r="A38"/>
      <c r="B38" s="40"/>
      <c r="C38" s="56" t="s">
        <v>78</v>
      </c>
      <c r="D38" s="47" t="s">
        <v>81</v>
      </c>
      <c r="E38" s="42"/>
      <c r="F38" s="42"/>
      <c r="G38" s="40"/>
      <c r="H38" s="40"/>
      <c r="I38" s="41"/>
      <c r="K38" s="65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</row>
    <row r="39" spans="1:27" s="1" customFormat="1">
      <c r="A39"/>
      <c r="B39" s="40"/>
      <c r="C39" s="47"/>
      <c r="D39" s="47" t="s">
        <v>79</v>
      </c>
      <c r="E39" s="42"/>
      <c r="F39" s="42"/>
      <c r="G39" s="40"/>
      <c r="H39" s="40"/>
      <c r="I39" s="41"/>
      <c r="K39" s="65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</row>
    <row r="40" spans="1:27" s="1" customFormat="1">
      <c r="A40"/>
      <c r="B40" s="40"/>
      <c r="C40" s="47"/>
      <c r="D40" s="47" t="s">
        <v>80</v>
      </c>
      <c r="E40" s="42"/>
      <c r="F40" s="42"/>
      <c r="G40" s="40"/>
      <c r="H40" s="40"/>
      <c r="I40" s="41"/>
      <c r="K40" s="65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</row>
    <row r="41" spans="1:27" s="1" customFormat="1">
      <c r="A41"/>
      <c r="B41" s="40"/>
      <c r="C41" s="47"/>
      <c r="D41" s="47"/>
      <c r="E41" s="48"/>
      <c r="F41" s="48"/>
      <c r="G41" s="47"/>
      <c r="H41" s="47"/>
      <c r="I41" s="41"/>
      <c r="K41" s="65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</row>
    <row r="42" spans="1:27" s="1" customFormat="1">
      <c r="A42"/>
      <c r="B42" s="40"/>
      <c r="C42" s="64" t="s">
        <v>166</v>
      </c>
      <c r="D42" s="47"/>
      <c r="E42" s="48"/>
      <c r="F42" s="48"/>
      <c r="G42" s="47"/>
      <c r="H42" s="47"/>
      <c r="I42" s="41"/>
      <c r="K42" s="65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</row>
    <row r="43" spans="1:27" s="1" customFormat="1">
      <c r="A43"/>
      <c r="B43" s="40"/>
      <c r="C43" s="64" t="s">
        <v>172</v>
      </c>
      <c r="D43" s="47"/>
      <c r="E43" s="48"/>
      <c r="F43" s="48"/>
      <c r="G43" s="47"/>
      <c r="H43" s="47"/>
      <c r="I43" s="41"/>
      <c r="K43" s="65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</row>
    <row r="44" spans="1:27" s="1" customFormat="1">
      <c r="A44"/>
      <c r="B44" s="40"/>
      <c r="C44" s="64" t="s">
        <v>174</v>
      </c>
      <c r="D44" s="47"/>
      <c r="E44" s="48"/>
      <c r="F44" s="48"/>
      <c r="G44" s="47"/>
      <c r="H44" s="47"/>
      <c r="I44" s="41"/>
      <c r="K44" s="65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</row>
    <row r="45" spans="1:27" s="1" customFormat="1">
      <c r="A45"/>
      <c r="B45" s="40"/>
      <c r="C45" s="64" t="s">
        <v>173</v>
      </c>
      <c r="D45" s="41"/>
      <c r="E45" s="42"/>
      <c r="F45" s="42"/>
      <c r="G45" s="41"/>
      <c r="H45" s="41"/>
      <c r="I45" s="41"/>
      <c r="K45" s="6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</row>
    <row r="46" spans="1:27" s="1" customFormat="1">
      <c r="A46"/>
      <c r="B46" s="40"/>
      <c r="C46" s="47"/>
      <c r="D46" s="47"/>
      <c r="E46" s="48"/>
      <c r="F46" s="48"/>
      <c r="G46" s="47"/>
      <c r="H46" s="47"/>
      <c r="I46" s="41"/>
      <c r="K46" s="65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</row>
    <row r="47" spans="1:27" s="1" customFormat="1">
      <c r="A47"/>
      <c r="B47" s="40"/>
      <c r="C47" s="59"/>
      <c r="D47" s="59"/>
      <c r="E47" s="60"/>
      <c r="F47" s="60"/>
      <c r="G47" s="59"/>
      <c r="H47" s="61"/>
      <c r="I47" s="62"/>
      <c r="K47" s="65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</row>
    <row r="48" spans="1:27" s="1" customFormat="1">
      <c r="A48"/>
      <c r="B48" s="170"/>
      <c r="C48" s="170"/>
      <c r="D48" s="170"/>
      <c r="E48" s="170"/>
      <c r="F48" s="170"/>
      <c r="G48" s="170"/>
      <c r="H48" s="170"/>
      <c r="I48" s="170"/>
      <c r="K48" s="65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</row>
    <row r="49" spans="1:27" s="1" customFormat="1" ht="21" customHeight="1">
      <c r="A49"/>
      <c r="B49" s="170"/>
      <c r="C49" s="170"/>
      <c r="D49" s="170"/>
      <c r="E49" s="170"/>
      <c r="F49" s="170"/>
      <c r="G49" s="170"/>
      <c r="H49" s="170"/>
      <c r="I49" s="170"/>
      <c r="K49" s="65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</row>
    <row r="50" spans="1:27" s="1" customFormat="1" ht="21" customHeight="1">
      <c r="A50"/>
      <c r="B50" s="36"/>
      <c r="C50" s="39"/>
      <c r="D50" s="39"/>
      <c r="E50" s="38"/>
      <c r="F50" s="38"/>
      <c r="G50" s="39"/>
      <c r="H50" s="39"/>
      <c r="I50" s="37"/>
      <c r="K50" s="65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</row>
  </sheetData>
  <dataConsolidate/>
  <mergeCells count="11">
    <mergeCell ref="B48:I49"/>
    <mergeCell ref="C1:E3"/>
    <mergeCell ref="C12:D12"/>
    <mergeCell ref="C13:D13"/>
    <mergeCell ref="C11:D11"/>
    <mergeCell ref="C34:D34"/>
    <mergeCell ref="H3:I3"/>
    <mergeCell ref="G6:H6"/>
    <mergeCell ref="F7:H8"/>
    <mergeCell ref="G5:H5"/>
    <mergeCell ref="H1:I1"/>
  </mergeCells>
  <pageMargins left="0.70866141732283472" right="0.70866141732283472" top="0.74803149606299213" bottom="0.74803149606299213" header="0.31496062992125984" footer="0.31496062992125984"/>
  <pageSetup scale="43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4E6D344C-7373-48DD-8AD0-0B78702F269B}">
          <x14:formula1>
            <xm:f>CONCEPTOS!$G$3:$G$23</xm:f>
          </x14:formula1>
          <xm:sqref>E12</xm:sqref>
        </x14:dataValidation>
        <x14:dataValidation type="list" allowBlank="1" showInputMessage="1" showErrorMessage="1" xr:uid="{B12D2D01-4871-47A5-9318-7678DB0DD63E}">
          <x14:formula1>
            <xm:f>CONCEPTOS!$E$4:$E$5</xm:f>
          </x14:formula1>
          <xm:sqref>E13</xm:sqref>
        </x14:dataValidation>
        <x14:dataValidation type="list" allowBlank="1" showInputMessage="1" showErrorMessage="1" xr:uid="{C37E4C1A-FE92-4101-9552-D31C3D4C07EE}">
          <x14:formula1>
            <xm:f>CONCEPTOS!$E$2:$E$3</xm:f>
          </x14:formula1>
          <xm:sqref>E11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7"/>
  <sheetViews>
    <sheetView showGridLines="0" topLeftCell="A17" workbookViewId="0">
      <selection sqref="A1:XFD1048576"/>
    </sheetView>
  </sheetViews>
  <sheetFormatPr baseColWidth="10" defaultRowHeight="14.4"/>
  <cols>
    <col min="1" max="1" width="30.88671875" style="31" customWidth="1"/>
    <col min="2" max="2" width="2.33203125" customWidth="1"/>
    <col min="3" max="3" width="10.44140625" style="31" customWidth="1"/>
    <col min="4" max="4" width="2.6640625" customWidth="1"/>
    <col min="5" max="5" width="18.5546875" customWidth="1"/>
    <col min="6" max="6" width="3.6640625" customWidth="1"/>
    <col min="7" max="7" width="30.6640625" customWidth="1"/>
    <col min="8" max="8" width="2.88671875" customWidth="1"/>
    <col min="9" max="9" width="31.44140625" bestFit="1" customWidth="1"/>
    <col min="10" max="10" width="14.6640625" bestFit="1" customWidth="1"/>
    <col min="11" max="11" width="78.5546875" bestFit="1" customWidth="1"/>
    <col min="12" max="12" width="24.33203125" bestFit="1" customWidth="1"/>
    <col min="13" max="13" width="2.44140625" customWidth="1"/>
    <col min="14" max="14" width="41.109375" bestFit="1" customWidth="1"/>
    <col min="15" max="15" width="2.109375" customWidth="1"/>
    <col min="16" max="16" width="16.6640625" bestFit="1" customWidth="1"/>
  </cols>
  <sheetData>
    <row r="1" spans="1:16">
      <c r="A1" s="30" t="s">
        <v>87</v>
      </c>
      <c r="B1" s="30"/>
      <c r="C1" s="30" t="s">
        <v>2</v>
      </c>
      <c r="E1" s="32" t="s">
        <v>171</v>
      </c>
      <c r="G1" s="32" t="s">
        <v>148</v>
      </c>
      <c r="H1" s="32"/>
      <c r="I1" s="109" t="s">
        <v>200</v>
      </c>
      <c r="J1" s="110" t="s">
        <v>179</v>
      </c>
      <c r="K1" s="110" t="s">
        <v>180</v>
      </c>
      <c r="L1" s="111" t="s">
        <v>183</v>
      </c>
      <c r="M1" s="32"/>
      <c r="N1" s="112" t="s">
        <v>181</v>
      </c>
      <c r="O1" s="32"/>
      <c r="P1" s="112" t="s">
        <v>182</v>
      </c>
    </row>
    <row r="2" spans="1:16" ht="15" customHeight="1">
      <c r="A2" s="92" t="s">
        <v>88</v>
      </c>
      <c r="B2" s="31"/>
      <c r="C2" s="31">
        <v>11191602</v>
      </c>
      <c r="E2" t="s">
        <v>157</v>
      </c>
      <c r="G2" t="s">
        <v>149</v>
      </c>
      <c r="I2" s="103" t="s">
        <v>208</v>
      </c>
      <c r="J2" s="104" t="s">
        <v>209</v>
      </c>
      <c r="K2" s="104" t="s">
        <v>210</v>
      </c>
      <c r="L2" s="105" t="s">
        <v>184</v>
      </c>
      <c r="N2" t="s">
        <v>175</v>
      </c>
      <c r="P2" t="s">
        <v>185</v>
      </c>
    </row>
    <row r="3" spans="1:16" ht="15" customHeight="1">
      <c r="A3" s="92" t="s">
        <v>89</v>
      </c>
      <c r="C3" s="31">
        <v>11191602</v>
      </c>
      <c r="E3" t="s">
        <v>158</v>
      </c>
      <c r="G3" t="s">
        <v>150</v>
      </c>
      <c r="I3" s="103" t="s">
        <v>216</v>
      </c>
      <c r="J3" s="104" t="s">
        <v>217</v>
      </c>
      <c r="K3" s="104" t="s">
        <v>218</v>
      </c>
      <c r="L3" s="105" t="s">
        <v>219</v>
      </c>
      <c r="N3" t="s">
        <v>222</v>
      </c>
      <c r="P3" t="s">
        <v>189</v>
      </c>
    </row>
    <row r="4" spans="1:16" ht="15" customHeight="1">
      <c r="A4" s="92" t="s">
        <v>90</v>
      </c>
      <c r="C4" s="31">
        <v>11191602</v>
      </c>
      <c r="E4" t="s">
        <v>159</v>
      </c>
      <c r="G4" t="s">
        <v>177</v>
      </c>
      <c r="I4" s="103" t="s">
        <v>232</v>
      </c>
      <c r="J4" s="104" t="s">
        <v>233</v>
      </c>
      <c r="K4" s="104" t="s">
        <v>234</v>
      </c>
      <c r="L4" s="105" t="s">
        <v>184</v>
      </c>
      <c r="N4" t="s">
        <v>224</v>
      </c>
      <c r="P4" t="s">
        <v>245</v>
      </c>
    </row>
    <row r="5" spans="1:16" ht="15" customHeight="1">
      <c r="A5" s="92" t="s">
        <v>91</v>
      </c>
      <c r="C5" s="31">
        <v>11172000</v>
      </c>
      <c r="E5" t="s">
        <v>160</v>
      </c>
      <c r="G5" t="s">
        <v>151</v>
      </c>
      <c r="I5" s="103" t="s">
        <v>237</v>
      </c>
      <c r="J5" s="104" t="s">
        <v>238</v>
      </c>
      <c r="K5" s="104" t="s">
        <v>239</v>
      </c>
      <c r="L5" s="105" t="s">
        <v>184</v>
      </c>
      <c r="N5" t="s">
        <v>216</v>
      </c>
      <c r="P5" t="s">
        <v>190</v>
      </c>
    </row>
    <row r="6" spans="1:16" ht="15" customHeight="1">
      <c r="A6" s="92" t="s">
        <v>92</v>
      </c>
      <c r="C6" s="31">
        <v>11172000</v>
      </c>
      <c r="E6" t="s">
        <v>197</v>
      </c>
      <c r="G6" t="s">
        <v>136</v>
      </c>
      <c r="I6" s="103" t="s">
        <v>240</v>
      </c>
      <c r="J6" s="104" t="s">
        <v>241</v>
      </c>
      <c r="K6" s="104" t="s">
        <v>242</v>
      </c>
      <c r="L6" s="105" t="s">
        <v>184</v>
      </c>
      <c r="N6" t="s">
        <v>192</v>
      </c>
      <c r="P6" t="s">
        <v>202</v>
      </c>
    </row>
    <row r="7" spans="1:16" ht="15" customHeight="1">
      <c r="A7" s="92" t="s">
        <v>93</v>
      </c>
      <c r="C7" s="31">
        <v>11172000</v>
      </c>
      <c r="E7" t="s">
        <v>198</v>
      </c>
      <c r="G7" t="s">
        <v>137</v>
      </c>
      <c r="I7" s="103" t="s">
        <v>251</v>
      </c>
      <c r="J7" s="104" t="s">
        <v>255</v>
      </c>
      <c r="K7" s="104" t="s">
        <v>254</v>
      </c>
      <c r="L7" s="105" t="s">
        <v>184</v>
      </c>
      <c r="N7" t="s">
        <v>247</v>
      </c>
      <c r="P7" t="s">
        <v>203</v>
      </c>
    </row>
    <row r="8" spans="1:16" ht="15" customHeight="1">
      <c r="A8" s="92" t="s">
        <v>94</v>
      </c>
      <c r="C8" s="31">
        <v>11191610</v>
      </c>
      <c r="G8" t="s">
        <v>138</v>
      </c>
      <c r="I8" s="103" t="s">
        <v>252</v>
      </c>
      <c r="J8" s="104" t="s">
        <v>255</v>
      </c>
      <c r="K8" s="104" t="s">
        <v>253</v>
      </c>
      <c r="L8" s="105" t="s">
        <v>184</v>
      </c>
      <c r="N8" t="s">
        <v>248</v>
      </c>
      <c r="P8" t="s">
        <v>204</v>
      </c>
    </row>
    <row r="9" spans="1:16" ht="15" customHeight="1">
      <c r="A9" s="92" t="s">
        <v>95</v>
      </c>
      <c r="C9" s="31">
        <v>11191610</v>
      </c>
      <c r="G9" t="s">
        <v>139</v>
      </c>
      <c r="I9" s="104" t="s">
        <v>258</v>
      </c>
      <c r="J9" s="104" t="s">
        <v>260</v>
      </c>
      <c r="K9" s="104" t="s">
        <v>261</v>
      </c>
      <c r="L9" s="105" t="s">
        <v>184</v>
      </c>
      <c r="N9" t="s">
        <v>208</v>
      </c>
      <c r="P9" t="s">
        <v>206</v>
      </c>
    </row>
    <row r="10" spans="1:16" ht="15" customHeight="1">
      <c r="A10" s="92" t="s">
        <v>96</v>
      </c>
      <c r="C10" s="31">
        <v>11191610</v>
      </c>
      <c r="G10" t="s">
        <v>140</v>
      </c>
      <c r="I10" s="104" t="s">
        <v>259</v>
      </c>
      <c r="J10" s="104" t="s">
        <v>262</v>
      </c>
      <c r="K10" s="104" t="s">
        <v>263</v>
      </c>
      <c r="L10" s="105" t="s">
        <v>184</v>
      </c>
      <c r="N10" t="s">
        <v>249</v>
      </c>
      <c r="P10" t="s">
        <v>207</v>
      </c>
    </row>
    <row r="11" spans="1:16" ht="15" customHeight="1">
      <c r="A11" s="92" t="s">
        <v>97</v>
      </c>
      <c r="C11" s="31">
        <v>11191610</v>
      </c>
      <c r="G11" t="s">
        <v>141</v>
      </c>
      <c r="I11" s="104" t="s">
        <v>265</v>
      </c>
      <c r="J11" s="104" t="s">
        <v>266</v>
      </c>
      <c r="K11" s="104" t="s">
        <v>188</v>
      </c>
      <c r="L11" s="105" t="s">
        <v>184</v>
      </c>
      <c r="N11" t="s">
        <v>250</v>
      </c>
      <c r="P11" t="s">
        <v>215</v>
      </c>
    </row>
    <row r="12" spans="1:16" ht="15" customHeight="1">
      <c r="A12" s="92" t="s">
        <v>98</v>
      </c>
      <c r="C12" s="31">
        <v>11191610</v>
      </c>
      <c r="G12" t="s">
        <v>142</v>
      </c>
      <c r="I12" s="103"/>
      <c r="J12" s="104"/>
      <c r="K12" s="104"/>
      <c r="L12" s="105"/>
      <c r="N12" t="s">
        <v>256</v>
      </c>
      <c r="P12" t="s">
        <v>221</v>
      </c>
    </row>
    <row r="13" spans="1:16" ht="15" customHeight="1">
      <c r="A13" s="92" t="s">
        <v>99</v>
      </c>
      <c r="C13" s="31">
        <v>11191610</v>
      </c>
      <c r="G13" t="s">
        <v>143</v>
      </c>
      <c r="I13" s="103"/>
      <c r="J13" s="104"/>
      <c r="K13" s="104"/>
      <c r="L13" s="105"/>
      <c r="N13" t="s">
        <v>257</v>
      </c>
      <c r="P13" t="s">
        <v>223</v>
      </c>
    </row>
    <row r="14" spans="1:16" ht="15" customHeight="1">
      <c r="A14" s="92" t="s">
        <v>100</v>
      </c>
      <c r="C14" s="31">
        <v>11191610</v>
      </c>
      <c r="G14" t="s">
        <v>144</v>
      </c>
      <c r="I14" s="103"/>
      <c r="J14" s="104"/>
      <c r="K14" s="104"/>
      <c r="L14" s="105"/>
      <c r="P14" t="s">
        <v>226</v>
      </c>
    </row>
    <row r="15" spans="1:16" ht="15" customHeight="1" thickBot="1">
      <c r="A15" s="92" t="s">
        <v>101</v>
      </c>
      <c r="C15" s="31">
        <v>11191610</v>
      </c>
      <c r="G15" t="s">
        <v>145</v>
      </c>
      <c r="I15" s="106"/>
      <c r="J15" s="107"/>
      <c r="K15" s="107"/>
      <c r="L15" s="108"/>
      <c r="P15" t="s">
        <v>227</v>
      </c>
    </row>
    <row r="16" spans="1:16" ht="15" customHeight="1">
      <c r="A16" s="92" t="s">
        <v>102</v>
      </c>
      <c r="C16" s="31">
        <v>11191610</v>
      </c>
      <c r="G16" t="s">
        <v>146</v>
      </c>
      <c r="P16" t="s">
        <v>228</v>
      </c>
    </row>
    <row r="17" spans="1:16" ht="15" customHeight="1" thickBot="1">
      <c r="A17" s="92" t="s">
        <v>103</v>
      </c>
      <c r="C17" s="31">
        <v>11191610</v>
      </c>
      <c r="G17" t="s">
        <v>147</v>
      </c>
      <c r="P17" t="s">
        <v>229</v>
      </c>
    </row>
    <row r="18" spans="1:16" ht="15" customHeight="1">
      <c r="A18" s="92" t="s">
        <v>104</v>
      </c>
      <c r="C18" s="31">
        <v>11191610</v>
      </c>
      <c r="G18" t="s">
        <v>156</v>
      </c>
      <c r="I18" s="109" t="s">
        <v>178</v>
      </c>
      <c r="J18" s="110" t="s">
        <v>179</v>
      </c>
      <c r="K18" s="110" t="s">
        <v>180</v>
      </c>
      <c r="L18" s="111" t="s">
        <v>183</v>
      </c>
      <c r="P18" t="s">
        <v>230</v>
      </c>
    </row>
    <row r="19" spans="1:16" ht="15" customHeight="1">
      <c r="A19" s="92" t="s">
        <v>132</v>
      </c>
      <c r="C19" s="31">
        <v>11191610</v>
      </c>
      <c r="G19" t="s">
        <v>155</v>
      </c>
      <c r="I19" s="103" t="s">
        <v>175</v>
      </c>
      <c r="J19" s="104" t="s">
        <v>176</v>
      </c>
      <c r="K19" s="104" t="s">
        <v>220</v>
      </c>
      <c r="L19" s="105" t="s">
        <v>184</v>
      </c>
      <c r="P19" t="s">
        <v>235</v>
      </c>
    </row>
    <row r="20" spans="1:16" ht="15" customHeight="1">
      <c r="A20" s="92" t="s">
        <v>105</v>
      </c>
      <c r="C20" s="31">
        <v>11191610</v>
      </c>
      <c r="G20" t="s">
        <v>154</v>
      </c>
      <c r="I20" s="103" t="s">
        <v>186</v>
      </c>
      <c r="J20" s="104" t="s">
        <v>187</v>
      </c>
      <c r="K20" s="104" t="s">
        <v>188</v>
      </c>
      <c r="L20" s="105" t="s">
        <v>184</v>
      </c>
      <c r="P20" t="s">
        <v>243</v>
      </c>
    </row>
    <row r="21" spans="1:16" ht="15" customHeight="1">
      <c r="A21" s="92" t="s">
        <v>162</v>
      </c>
      <c r="C21" s="31">
        <v>11191610</v>
      </c>
      <c r="G21" t="s">
        <v>153</v>
      </c>
      <c r="I21" s="103" t="s">
        <v>211</v>
      </c>
      <c r="J21" s="104" t="s">
        <v>212</v>
      </c>
      <c r="K21" s="104" t="s">
        <v>213</v>
      </c>
      <c r="L21" s="105" t="s">
        <v>231</v>
      </c>
      <c r="P21" t="s">
        <v>244</v>
      </c>
    </row>
    <row r="22" spans="1:16" ht="15" customHeight="1">
      <c r="A22" s="92" t="s">
        <v>106</v>
      </c>
      <c r="C22" s="31">
        <v>11191610</v>
      </c>
      <c r="G22" t="s">
        <v>152</v>
      </c>
      <c r="I22" s="103"/>
      <c r="J22" s="104"/>
      <c r="K22" s="104"/>
      <c r="L22" s="105"/>
      <c r="P22" t="s">
        <v>246</v>
      </c>
    </row>
    <row r="23" spans="1:16" ht="15" customHeight="1">
      <c r="A23" s="92" t="s">
        <v>107</v>
      </c>
      <c r="C23" s="31">
        <v>11191610</v>
      </c>
      <c r="I23" s="103"/>
      <c r="J23" s="104"/>
      <c r="K23" s="104"/>
      <c r="L23" s="105"/>
      <c r="P23" t="s">
        <v>264</v>
      </c>
    </row>
    <row r="24" spans="1:16" ht="15" customHeight="1">
      <c r="A24" s="92" t="s">
        <v>108</v>
      </c>
      <c r="C24" s="31">
        <v>11191600</v>
      </c>
      <c r="I24" s="103"/>
      <c r="J24" s="104"/>
      <c r="K24" s="104"/>
      <c r="L24" s="105"/>
    </row>
    <row r="25" spans="1:16" ht="15" customHeight="1">
      <c r="A25" s="92" t="s">
        <v>109</v>
      </c>
      <c r="C25" s="31">
        <v>11191600</v>
      </c>
      <c r="I25" s="103"/>
      <c r="J25" s="104"/>
      <c r="K25" s="104"/>
      <c r="L25" s="105"/>
    </row>
    <row r="26" spans="1:16" ht="15" customHeight="1">
      <c r="A26" s="92" t="s">
        <v>110</v>
      </c>
      <c r="C26" s="31">
        <v>11191600</v>
      </c>
      <c r="I26" s="103"/>
      <c r="J26" s="104"/>
      <c r="K26" s="104"/>
      <c r="L26" s="105"/>
    </row>
    <row r="27" spans="1:16" ht="15" customHeight="1">
      <c r="A27" s="92" t="s">
        <v>111</v>
      </c>
      <c r="C27" s="31">
        <v>11191600</v>
      </c>
      <c r="I27" s="103"/>
      <c r="J27" s="104"/>
      <c r="K27" s="104"/>
      <c r="L27" s="105"/>
    </row>
    <row r="28" spans="1:16" ht="15" customHeight="1">
      <c r="A28" s="92" t="s">
        <v>112</v>
      </c>
      <c r="C28" s="31">
        <v>11191600</v>
      </c>
      <c r="I28" s="103"/>
      <c r="J28" s="104"/>
      <c r="K28" s="104"/>
      <c r="L28" s="105"/>
    </row>
    <row r="29" spans="1:16" ht="15" customHeight="1">
      <c r="A29" s="92" t="s">
        <v>113</v>
      </c>
      <c r="C29" s="31">
        <v>11191600</v>
      </c>
      <c r="G29" s="35"/>
      <c r="H29" s="35"/>
      <c r="I29" s="103"/>
      <c r="J29" s="104"/>
      <c r="K29" s="104"/>
      <c r="L29" s="105"/>
    </row>
    <row r="30" spans="1:16" ht="15" customHeight="1">
      <c r="A30" s="92" t="s">
        <v>133</v>
      </c>
      <c r="C30" s="31">
        <v>11191607</v>
      </c>
      <c r="G30" s="35"/>
      <c r="H30" s="35"/>
      <c r="I30" s="103"/>
      <c r="J30" s="104"/>
      <c r="K30" s="104"/>
      <c r="L30" s="105"/>
    </row>
    <row r="31" spans="1:16" ht="15" customHeight="1">
      <c r="A31" s="92" t="s">
        <v>114</v>
      </c>
      <c r="C31" s="31">
        <v>11191607</v>
      </c>
      <c r="H31" s="34"/>
      <c r="I31" s="103"/>
      <c r="J31" s="104"/>
      <c r="K31" s="104"/>
      <c r="L31" s="105"/>
    </row>
    <row r="32" spans="1:16" ht="15" customHeight="1" thickBot="1">
      <c r="A32" s="92" t="s">
        <v>115</v>
      </c>
      <c r="C32" s="31">
        <v>11191607</v>
      </c>
      <c r="G32" s="33"/>
      <c r="H32" s="33"/>
      <c r="I32" s="106"/>
      <c r="J32" s="107"/>
      <c r="K32" s="107"/>
      <c r="L32" s="108"/>
    </row>
    <row r="33" spans="1:8" ht="15" customHeight="1">
      <c r="A33" s="92" t="s">
        <v>116</v>
      </c>
      <c r="C33" s="31">
        <v>11191607</v>
      </c>
      <c r="G33" s="33"/>
    </row>
    <row r="34" spans="1:8" ht="15" customHeight="1">
      <c r="A34" s="92" t="s">
        <v>117</v>
      </c>
      <c r="C34" s="31">
        <v>11191607</v>
      </c>
    </row>
    <row r="35" spans="1:8" ht="15" customHeight="1">
      <c r="A35" s="92" t="s">
        <v>118</v>
      </c>
      <c r="C35" s="31">
        <v>11191607</v>
      </c>
    </row>
    <row r="36" spans="1:8" ht="15" customHeight="1">
      <c r="A36" s="92" t="s">
        <v>119</v>
      </c>
      <c r="C36" s="31">
        <v>11191607</v>
      </c>
      <c r="H36" s="34"/>
    </row>
    <row r="37" spans="1:8" ht="15" customHeight="1">
      <c r="A37" s="92" t="s">
        <v>120</v>
      </c>
      <c r="C37" s="31">
        <v>11191607</v>
      </c>
      <c r="G37" s="33"/>
      <c r="H37" s="34"/>
    </row>
    <row r="38" spans="1:8" ht="15" customHeight="1">
      <c r="A38" s="92" t="s">
        <v>121</v>
      </c>
      <c r="C38" s="31">
        <v>11191607</v>
      </c>
      <c r="G38" s="33"/>
      <c r="H38" s="33"/>
    </row>
    <row r="39" spans="1:8" ht="15" customHeight="1">
      <c r="A39" s="92" t="s">
        <v>131</v>
      </c>
      <c r="C39" s="31">
        <v>11191607</v>
      </c>
    </row>
    <row r="40" spans="1:8" ht="15" customHeight="1">
      <c r="A40" s="92" t="s">
        <v>122</v>
      </c>
      <c r="C40" s="31">
        <v>11191607</v>
      </c>
    </row>
    <row r="41" spans="1:8" ht="15" customHeight="1">
      <c r="A41" s="92" t="s">
        <v>123</v>
      </c>
      <c r="C41" s="31">
        <v>11191600</v>
      </c>
      <c r="G41" s="34"/>
    </row>
    <row r="42" spans="1:8" ht="15" customHeight="1">
      <c r="A42" s="92" t="s">
        <v>124</v>
      </c>
      <c r="C42" s="31">
        <v>11191610</v>
      </c>
      <c r="G42" s="34"/>
    </row>
    <row r="43" spans="1:8" ht="15" customHeight="1">
      <c r="A43" s="92" t="s">
        <v>125</v>
      </c>
      <c r="C43" s="31">
        <v>11191608</v>
      </c>
      <c r="G43" s="34"/>
    </row>
    <row r="44" spans="1:8" ht="15" customHeight="1">
      <c r="A44" s="92" t="s">
        <v>126</v>
      </c>
      <c r="C44" s="31">
        <v>11191610</v>
      </c>
    </row>
    <row r="45" spans="1:8" ht="15" customHeight="1">
      <c r="A45" s="92" t="s">
        <v>127</v>
      </c>
      <c r="C45" s="31">
        <v>11191610</v>
      </c>
    </row>
    <row r="46" spans="1:8" ht="15" customHeight="1">
      <c r="A46" s="92" t="s">
        <v>128</v>
      </c>
      <c r="C46" s="31">
        <v>11191600</v>
      </c>
    </row>
    <row r="47" spans="1:8" ht="15" customHeight="1">
      <c r="A47" s="92" t="s">
        <v>129</v>
      </c>
      <c r="C47" s="31">
        <v>11191607</v>
      </c>
    </row>
    <row r="48" spans="1:8" ht="15" customHeight="1">
      <c r="A48" s="92" t="s">
        <v>130</v>
      </c>
      <c r="C48" s="31">
        <v>11191600</v>
      </c>
    </row>
    <row r="49" spans="1:3" ht="15" customHeight="1">
      <c r="A49" s="92" t="s">
        <v>205</v>
      </c>
      <c r="C49" s="31">
        <v>11191610</v>
      </c>
    </row>
    <row r="50" spans="1:3" ht="15" customHeight="1">
      <c r="A50" s="92" t="s">
        <v>214</v>
      </c>
      <c r="C50" s="31">
        <v>11191610</v>
      </c>
    </row>
    <row r="51" spans="1:3" ht="15" customHeight="1">
      <c r="A51" s="92" t="s">
        <v>225</v>
      </c>
      <c r="C51" s="31">
        <v>11191610</v>
      </c>
    </row>
    <row r="52" spans="1:3" ht="15" customHeight="1">
      <c r="A52" s="92" t="s">
        <v>236</v>
      </c>
      <c r="C52" s="31">
        <v>11191610</v>
      </c>
    </row>
    <row r="53" spans="1:3" ht="15" customHeight="1"/>
    <row r="54" spans="1:3" ht="15" customHeight="1"/>
    <row r="55" spans="1:3" ht="15" customHeight="1"/>
    <row r="56" spans="1:3" ht="15" customHeight="1"/>
    <row r="57" spans="1:3" ht="15" customHeight="1"/>
  </sheetData>
  <sortState xmlns:xlrd2="http://schemas.microsoft.com/office/spreadsheetml/2017/richdata2" ref="A2:A51">
    <sortCondition ref="A51"/>
  </sortState>
  <phoneticPr fontId="16" type="noConversion"/>
  <dataValidations disablePrompts="1" count="1">
    <dataValidation type="list" allowBlank="1" showInputMessage="1" showErrorMessage="1" sqref="D43" xr:uid="{00000000-0002-0000-0100-000000000000}">
      <formula1>$A$2:$A$93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50"/>
  <sheetViews>
    <sheetView showGridLines="0" topLeftCell="A3" workbookViewId="0">
      <selection activeCell="C24" sqref="C24"/>
    </sheetView>
  </sheetViews>
  <sheetFormatPr baseColWidth="10" defaultColWidth="9.109375" defaultRowHeight="10.8"/>
  <cols>
    <col min="1" max="1" width="1.6640625" style="4" customWidth="1"/>
    <col min="2" max="2" width="2.6640625" style="4" customWidth="1"/>
    <col min="3" max="3" width="14.5546875" style="4" customWidth="1"/>
    <col min="4" max="4" width="12.33203125" style="4" customWidth="1"/>
    <col min="5" max="5" width="8.6640625" style="4" customWidth="1"/>
    <col min="6" max="6" width="9.6640625" style="4" customWidth="1"/>
    <col min="7" max="7" width="12.33203125" style="4" bestFit="1" customWidth="1"/>
    <col min="8" max="8" width="8.6640625" style="4" customWidth="1"/>
    <col min="9" max="9" width="9.33203125" style="4" customWidth="1"/>
    <col min="10" max="10" width="9.109375" style="4"/>
    <col min="11" max="11" width="1.6640625" style="4" customWidth="1"/>
    <col min="12" max="12" width="2.6640625" style="4" customWidth="1"/>
    <col min="13" max="13" width="10.88671875" style="4" customWidth="1"/>
    <col min="14" max="16384" width="9.109375" style="4"/>
  </cols>
  <sheetData>
    <row r="2" spans="1:14">
      <c r="C2" s="5" t="s">
        <v>5</v>
      </c>
    </row>
    <row r="3" spans="1:14">
      <c r="C3" s="6">
        <f>'ORDEN DE COMPRA'!H38</f>
        <v>1105545.5038277199</v>
      </c>
    </row>
    <row r="4" spans="1:14" ht="13.8">
      <c r="C4" s="7" t="str">
        <f>(C13&amp;" "&amp;D13&amp;" "&amp;E13&amp;" "&amp;E14&amp;" "&amp;F13&amp;" "&amp;D14&amp;" "&amp;G13&amp;" "&amp;G14&amp;" "&amp;H13&amp;" "&amp;H14&amp;" "&amp;H15&amp;" "&amp;I13&amp;" "&amp;D15&amp;" "&amp;J12&amp;"/100 M. N.")</f>
        <v>UN MILLON CIENTO   CINCO MIL QUINIENTOS  CUARENTA Y  CINCO PESOS 50/100 M. N.</v>
      </c>
      <c r="D4" s="8"/>
      <c r="E4" s="8"/>
      <c r="F4" s="8"/>
      <c r="G4" s="8"/>
      <c r="H4" s="8"/>
      <c r="I4" s="8"/>
      <c r="J4" s="8"/>
      <c r="K4" s="8"/>
      <c r="L4" s="8"/>
      <c r="M4" s="8"/>
    </row>
    <row r="5" spans="1:14" ht="13.8">
      <c r="C5" s="9" t="str">
        <f>TRIM(C4)</f>
        <v>UN MILLON CIENTO CINCO MIL QUINIENTOS CUARENTA Y CINCO PESOS 50/100 M. N.</v>
      </c>
    </row>
    <row r="6" spans="1:14" ht="13.8">
      <c r="C6" s="9"/>
    </row>
    <row r="7" spans="1:14">
      <c r="B7" s="10"/>
      <c r="C7" s="11"/>
      <c r="D7" s="11" t="s">
        <v>6</v>
      </c>
      <c r="E7" s="11" t="s">
        <v>7</v>
      </c>
      <c r="F7" s="11" t="s">
        <v>8</v>
      </c>
      <c r="G7" s="11"/>
      <c r="H7" s="11"/>
      <c r="I7" s="11"/>
      <c r="J7" s="11" t="s">
        <v>9</v>
      </c>
      <c r="K7" s="10"/>
      <c r="L7" s="10"/>
      <c r="M7" s="10"/>
      <c r="N7" s="10"/>
    </row>
    <row r="8" spans="1:14">
      <c r="B8" s="10"/>
      <c r="C8" s="11" t="s">
        <v>10</v>
      </c>
      <c r="D8" s="11" t="s">
        <v>11</v>
      </c>
      <c r="E8" s="11" t="s">
        <v>11</v>
      </c>
      <c r="F8" s="11" t="s">
        <v>11</v>
      </c>
      <c r="G8" s="11" t="s">
        <v>12</v>
      </c>
      <c r="H8" s="11" t="s">
        <v>13</v>
      </c>
      <c r="I8" s="11" t="s">
        <v>14</v>
      </c>
      <c r="J8" s="10"/>
      <c r="K8" s="10"/>
      <c r="L8" s="10"/>
      <c r="M8" s="10"/>
      <c r="N8" s="10"/>
    </row>
    <row r="9" spans="1:14">
      <c r="A9" s="10"/>
      <c r="B9" s="10"/>
      <c r="C9" s="10"/>
      <c r="D9" s="12">
        <f>C3-C11*1000000</f>
        <v>105545.50382771995</v>
      </c>
      <c r="E9" s="12">
        <f>D9-D11*100000</f>
        <v>5545.5038277199492</v>
      </c>
      <c r="F9" s="12">
        <f>E9-E11*10000</f>
        <v>5545.5038277199492</v>
      </c>
      <c r="G9" s="12">
        <f>F9-F11*1000</f>
        <v>545.50382771994919</v>
      </c>
      <c r="H9" s="12">
        <f>G9-G11*100</f>
        <v>45.503827719949186</v>
      </c>
      <c r="I9" s="12">
        <f>H9-H11*10</f>
        <v>5.5038277199491858</v>
      </c>
      <c r="J9" s="12">
        <f>I9-I11*1</f>
        <v>0.50382771994918585</v>
      </c>
      <c r="K9" s="10"/>
      <c r="L9" s="10"/>
      <c r="M9" s="10"/>
      <c r="N9" s="10"/>
    </row>
    <row r="10" spans="1:14">
      <c r="A10" s="10"/>
      <c r="B10" s="10"/>
      <c r="C10" s="12">
        <f>$C$3/1000000</f>
        <v>1.10554550382772</v>
      </c>
      <c r="D10" s="12">
        <f>D9/100000</f>
        <v>1.0554550382771994</v>
      </c>
      <c r="E10" s="12">
        <f>E9/10000</f>
        <v>0.55455038277199487</v>
      </c>
      <c r="F10" s="12">
        <f>F9/1000</f>
        <v>5.5455038277199495</v>
      </c>
      <c r="G10" s="12">
        <f>G9/100</f>
        <v>5.4550382771994919</v>
      </c>
      <c r="H10" s="12">
        <f>H9/10</f>
        <v>4.5503827719949186</v>
      </c>
      <c r="I10" s="12">
        <f>I9/1</f>
        <v>5.5038277199491858</v>
      </c>
      <c r="J10" s="12">
        <f>J9*100</f>
        <v>50.382771994918585</v>
      </c>
      <c r="K10" s="10"/>
      <c r="L10" s="10"/>
      <c r="M10" s="10"/>
      <c r="N10" s="10"/>
    </row>
    <row r="11" spans="1:14">
      <c r="A11" s="10"/>
      <c r="B11" s="10"/>
      <c r="C11" s="13">
        <f t="shared" ref="C11:I11" si="0">INT(C10)</f>
        <v>1</v>
      </c>
      <c r="D11" s="13">
        <f t="shared" si="0"/>
        <v>1</v>
      </c>
      <c r="E11" s="13">
        <f t="shared" si="0"/>
        <v>0</v>
      </c>
      <c r="F11" s="13">
        <f t="shared" si="0"/>
        <v>5</v>
      </c>
      <c r="G11" s="13">
        <f t="shared" si="0"/>
        <v>5</v>
      </c>
      <c r="H11" s="13">
        <f t="shared" si="0"/>
        <v>4</v>
      </c>
      <c r="I11" s="13">
        <f t="shared" si="0"/>
        <v>5</v>
      </c>
      <c r="J11" s="13">
        <f>IF(J10=0,"00",ROUND(J10,0))</f>
        <v>50</v>
      </c>
      <c r="K11" s="10"/>
      <c r="L11" s="10"/>
      <c r="M11" s="10"/>
      <c r="N11" s="10"/>
    </row>
    <row r="12" spans="1:14">
      <c r="A12" s="10"/>
      <c r="B12" s="10"/>
      <c r="C12" s="14"/>
      <c r="D12" s="14"/>
      <c r="E12" s="14"/>
      <c r="F12" s="14"/>
      <c r="G12" s="14"/>
      <c r="H12" s="15">
        <f>IF(AND(H9&gt;10,H11&lt;20),INT(H9),0)</f>
        <v>45</v>
      </c>
      <c r="I12" s="14"/>
      <c r="J12" s="16">
        <f>IF(J11&lt;10,("0"&amp;J11),J11)</f>
        <v>50</v>
      </c>
      <c r="K12" s="10"/>
      <c r="L12" s="10"/>
      <c r="M12" s="10"/>
      <c r="N12" s="10"/>
    </row>
    <row r="13" spans="1:14">
      <c r="A13" s="10"/>
      <c r="B13" s="10"/>
      <c r="C13" s="17" t="str">
        <f>IF(C11=0,"",VLOOKUP(C11,MASTERTABLE,2))</f>
        <v>UN MILLON</v>
      </c>
      <c r="D13" s="17" t="str">
        <f>IF(D11=0,"",IF(AND(D11=1,E11=0,F11=0),"CIEN",VLOOKUP(D11,MASTERTABLE,3)))</f>
        <v>CIENTO</v>
      </c>
      <c r="E13" s="17" t="str">
        <f>IF(E11=0,"",IF(AND(E9&gt;10999,E9&lt;30000),VLOOKUP(E15,auxtable,2),VLOOKUP(E11,MASTERTABLE,4)))</f>
        <v/>
      </c>
      <c r="F13" s="17" t="str">
        <f>IF(F11=0," ",IF(AND(E9&gt;10999,E9&lt;30000)," ",VLOOKUP(F11,MASTERTABLE,5)))</f>
        <v>CINCO</v>
      </c>
      <c r="G13" s="17" t="str">
        <f>IF(OR(G11=0,C3=100)," ",VLOOKUP(G11,MASTERTABLE,6))</f>
        <v>QUINIENTOS</v>
      </c>
      <c r="H13" s="17" t="str">
        <f>IF(H11=0," ",IF(AND(H9&gt;10,H9&lt;30),VLOOKUP(H12,auxtable,2),VLOOKUP(H11,MASTERTABLE,7)))</f>
        <v>CUARENTA</v>
      </c>
      <c r="I13" s="17" t="str">
        <f>IF(I11=0," ",IF(AND(H9&gt;10,H9&lt;30)," ",VLOOKUP(I11,MASTERTABLE,8)))</f>
        <v>CINCO</v>
      </c>
      <c r="J13" s="18"/>
      <c r="K13" s="10"/>
      <c r="L13" s="10"/>
      <c r="M13" s="10"/>
      <c r="N13" s="10"/>
    </row>
    <row r="14" spans="1:14">
      <c r="A14" s="10"/>
      <c r="B14" s="10"/>
      <c r="C14" s="14"/>
      <c r="D14" s="17" t="str">
        <f>IF(F11=1,"MIL",IF(AND(D11=0,E11=0,F11=0),"","MIL"))</f>
        <v>MIL</v>
      </c>
      <c r="E14" s="17" t="str">
        <f>IF(AND(E15&gt;30,E11&lt;&gt;0,I11&lt;&gt;0),"Y","")</f>
        <v/>
      </c>
      <c r="F14" s="19"/>
      <c r="G14" s="17" t="str">
        <f>IF(C3=100,"CIEN","")</f>
        <v/>
      </c>
      <c r="H14" s="17" t="str">
        <f>IF(AND(H12&gt;30,H11&lt;&gt;0,I11&lt;&gt;0),"Y","")</f>
        <v>Y</v>
      </c>
      <c r="I14" s="14" t="str">
        <f>IF(AND(H9&gt;9,H9&lt;30),"",(IF(AND(G11&lt;&gt;0,H11&lt;&gt;0),"Y","")))</f>
        <v>Y</v>
      </c>
      <c r="J14" s="20"/>
      <c r="K14" s="10"/>
      <c r="L14" s="10"/>
      <c r="M14" s="10"/>
      <c r="N14" s="10"/>
    </row>
    <row r="15" spans="1:14">
      <c r="A15" s="10"/>
      <c r="B15" s="10"/>
      <c r="C15" s="14"/>
      <c r="D15" s="17" t="str">
        <f>IF(C3=1,"PESO",(IF(AND(C11&lt;&gt;0,D11=0,E11=0,F11=0),"DE PESOS","PESOS")))</f>
        <v>PESOS</v>
      </c>
      <c r="E15" s="21">
        <f>IF(H9&gt;20000,0,INT(E9/1000))</f>
        <v>5</v>
      </c>
      <c r="F15" s="19"/>
      <c r="G15" s="19"/>
      <c r="H15" s="17"/>
      <c r="I15" s="14" t="str">
        <f>IF(AND(H12&gt;30,H11&lt;&gt;0,I11&lt;&gt;0),"Y","")</f>
        <v>Y</v>
      </c>
      <c r="J15" s="20"/>
      <c r="K15" s="10"/>
      <c r="L15" s="10"/>
      <c r="M15" s="10"/>
      <c r="N15" s="10"/>
    </row>
    <row r="16" spans="1:14" ht="11.4" thickBo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24">
      <c r="A17" s="10"/>
      <c r="B17" s="22">
        <v>1</v>
      </c>
      <c r="C17" s="23" t="s">
        <v>15</v>
      </c>
      <c r="D17" s="23" t="s">
        <v>16</v>
      </c>
      <c r="E17" s="23" t="s">
        <v>17</v>
      </c>
      <c r="F17" s="23" t="s">
        <v>18</v>
      </c>
      <c r="G17" s="23" t="s">
        <v>16</v>
      </c>
      <c r="H17" s="23" t="s">
        <v>17</v>
      </c>
      <c r="I17" s="23" t="s">
        <v>18</v>
      </c>
      <c r="J17" s="23"/>
      <c r="K17" s="23"/>
      <c r="L17" s="23">
        <v>10</v>
      </c>
      <c r="M17" s="24" t="s">
        <v>17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24">
      <c r="A18" s="10"/>
      <c r="B18" s="25">
        <f t="shared" ref="B18:B40" si="1">+B17+1</f>
        <v>2</v>
      </c>
      <c r="C18" s="10" t="s">
        <v>19</v>
      </c>
      <c r="D18" s="10" t="s">
        <v>20</v>
      </c>
      <c r="E18" s="10" t="s">
        <v>21</v>
      </c>
      <c r="F18" s="10" t="s">
        <v>22</v>
      </c>
      <c r="G18" s="10" t="s">
        <v>20</v>
      </c>
      <c r="H18" s="10" t="s">
        <v>21</v>
      </c>
      <c r="I18" s="10" t="s">
        <v>22</v>
      </c>
      <c r="J18" s="10"/>
      <c r="K18" s="10"/>
      <c r="L18" s="10">
        <v>11</v>
      </c>
      <c r="M18" s="26" t="s">
        <v>23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>
      <c r="A19" s="10"/>
      <c r="B19" s="25">
        <f t="shared" si="1"/>
        <v>3</v>
      </c>
      <c r="C19" s="10" t="s">
        <v>24</v>
      </c>
      <c r="D19" s="10" t="s">
        <v>25</v>
      </c>
      <c r="E19" s="10" t="s">
        <v>26</v>
      </c>
      <c r="F19" s="10" t="s">
        <v>27</v>
      </c>
      <c r="G19" s="10" t="s">
        <v>25</v>
      </c>
      <c r="H19" s="10" t="s">
        <v>26</v>
      </c>
      <c r="I19" s="10" t="s">
        <v>27</v>
      </c>
      <c r="J19" s="10"/>
      <c r="K19" s="10"/>
      <c r="L19" s="10">
        <v>12</v>
      </c>
      <c r="M19" s="26" t="s">
        <v>28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>
      <c r="A20" s="10"/>
      <c r="B20" s="25">
        <f t="shared" si="1"/>
        <v>4</v>
      </c>
      <c r="C20" s="10" t="s">
        <v>29</v>
      </c>
      <c r="D20" s="10" t="s">
        <v>30</v>
      </c>
      <c r="E20" s="10" t="s">
        <v>31</v>
      </c>
      <c r="F20" s="10" t="s">
        <v>32</v>
      </c>
      <c r="G20" s="10" t="s">
        <v>30</v>
      </c>
      <c r="H20" s="10" t="s">
        <v>31</v>
      </c>
      <c r="I20" s="10" t="s">
        <v>32</v>
      </c>
      <c r="J20" s="10"/>
      <c r="K20" s="10"/>
      <c r="L20" s="10">
        <v>13</v>
      </c>
      <c r="M20" s="26" t="s">
        <v>33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>
      <c r="A21" s="10"/>
      <c r="B21" s="25">
        <f t="shared" si="1"/>
        <v>5</v>
      </c>
      <c r="C21" s="10" t="s">
        <v>34</v>
      </c>
      <c r="D21" s="10" t="s">
        <v>35</v>
      </c>
      <c r="E21" s="10" t="s">
        <v>36</v>
      </c>
      <c r="F21" s="10" t="s">
        <v>37</v>
      </c>
      <c r="G21" s="10" t="s">
        <v>35</v>
      </c>
      <c r="H21" s="10" t="s">
        <v>36</v>
      </c>
      <c r="I21" s="10" t="s">
        <v>37</v>
      </c>
      <c r="J21" s="10"/>
      <c r="K21" s="10"/>
      <c r="L21" s="10">
        <v>14</v>
      </c>
      <c r="M21" s="26" t="s">
        <v>38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>
      <c r="A22" s="10"/>
      <c r="B22" s="25">
        <f t="shared" si="1"/>
        <v>6</v>
      </c>
      <c r="C22" s="10" t="s">
        <v>39</v>
      </c>
      <c r="D22" s="10" t="s">
        <v>40</v>
      </c>
      <c r="E22" s="10" t="s">
        <v>41</v>
      </c>
      <c r="F22" s="10" t="s">
        <v>42</v>
      </c>
      <c r="G22" s="10" t="s">
        <v>40</v>
      </c>
      <c r="H22" s="10" t="s">
        <v>41</v>
      </c>
      <c r="I22" s="10" t="s">
        <v>42</v>
      </c>
      <c r="J22" s="10"/>
      <c r="K22" s="10"/>
      <c r="L22" s="10">
        <v>15</v>
      </c>
      <c r="M22" s="26" t="s">
        <v>43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spans="1:24">
      <c r="A23" s="10"/>
      <c r="B23" s="25">
        <f t="shared" si="1"/>
        <v>7</v>
      </c>
      <c r="C23" s="10" t="s">
        <v>44</v>
      </c>
      <c r="D23" s="10" t="s">
        <v>45</v>
      </c>
      <c r="E23" s="10" t="s">
        <v>46</v>
      </c>
      <c r="F23" s="10" t="s">
        <v>47</v>
      </c>
      <c r="G23" s="10" t="s">
        <v>45</v>
      </c>
      <c r="H23" s="10" t="s">
        <v>46</v>
      </c>
      <c r="I23" s="10" t="s">
        <v>47</v>
      </c>
      <c r="J23" s="10"/>
      <c r="K23" s="10"/>
      <c r="L23" s="10">
        <v>16</v>
      </c>
      <c r="M23" s="26" t="s">
        <v>48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>
      <c r="A24" s="10"/>
      <c r="B24" s="25">
        <f t="shared" si="1"/>
        <v>8</v>
      </c>
      <c r="C24" s="10" t="s">
        <v>49</v>
      </c>
      <c r="D24" s="10" t="s">
        <v>50</v>
      </c>
      <c r="E24" s="10" t="s">
        <v>51</v>
      </c>
      <c r="F24" s="10" t="s">
        <v>52</v>
      </c>
      <c r="G24" s="10" t="s">
        <v>50</v>
      </c>
      <c r="H24" s="10" t="s">
        <v>51</v>
      </c>
      <c r="I24" s="10" t="s">
        <v>52</v>
      </c>
      <c r="J24" s="10"/>
      <c r="K24" s="10"/>
      <c r="L24" s="10">
        <v>17</v>
      </c>
      <c r="M24" s="26" t="s">
        <v>53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>
      <c r="A25" s="10"/>
      <c r="B25" s="25">
        <f t="shared" si="1"/>
        <v>9</v>
      </c>
      <c r="C25" s="10" t="s">
        <v>54</v>
      </c>
      <c r="D25" s="10" t="s">
        <v>55</v>
      </c>
      <c r="E25" s="10" t="s">
        <v>56</v>
      </c>
      <c r="F25" s="10" t="s">
        <v>57</v>
      </c>
      <c r="G25" s="10" t="s">
        <v>55</v>
      </c>
      <c r="H25" s="10" t="s">
        <v>56</v>
      </c>
      <c r="I25" s="10" t="s">
        <v>57</v>
      </c>
      <c r="J25" s="10"/>
      <c r="K25" s="10"/>
      <c r="L25" s="10">
        <v>18</v>
      </c>
      <c r="M25" s="26" t="s">
        <v>58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spans="1:24">
      <c r="A26" s="10"/>
      <c r="B26" s="25">
        <f t="shared" si="1"/>
        <v>10</v>
      </c>
      <c r="C26" s="10" t="s">
        <v>59</v>
      </c>
      <c r="D26" s="10"/>
      <c r="E26" s="10"/>
      <c r="F26" s="10"/>
      <c r="G26" s="10"/>
      <c r="H26" s="10"/>
      <c r="I26" s="10"/>
      <c r="J26" s="10"/>
      <c r="K26" s="10"/>
      <c r="L26" s="10">
        <v>19</v>
      </c>
      <c r="M26" s="26" t="s">
        <v>60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1:24">
      <c r="A27" s="10"/>
      <c r="B27" s="25">
        <f t="shared" si="1"/>
        <v>11</v>
      </c>
      <c r="C27" s="10" t="s">
        <v>61</v>
      </c>
      <c r="D27" s="10"/>
      <c r="E27" s="10"/>
      <c r="F27" s="10"/>
      <c r="G27" s="10"/>
      <c r="H27" s="10"/>
      <c r="I27" s="10"/>
      <c r="J27" s="10"/>
      <c r="K27" s="10"/>
      <c r="L27" s="10">
        <v>20</v>
      </c>
      <c r="M27" s="26" t="s">
        <v>21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spans="1:24">
      <c r="A28" s="10"/>
      <c r="B28" s="25">
        <f t="shared" si="1"/>
        <v>12</v>
      </c>
      <c r="C28" s="10" t="s">
        <v>62</v>
      </c>
      <c r="D28" s="10"/>
      <c r="E28" s="10"/>
      <c r="F28" s="10"/>
      <c r="G28" s="10"/>
      <c r="H28" s="10"/>
      <c r="I28" s="10"/>
      <c r="J28" s="10"/>
      <c r="K28" s="10"/>
      <c r="L28" s="10">
        <v>21</v>
      </c>
      <c r="M28" s="26" t="s">
        <v>63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>
      <c r="A29" s="10"/>
      <c r="B29" s="25">
        <f t="shared" si="1"/>
        <v>13</v>
      </c>
      <c r="C29" s="10" t="s">
        <v>64</v>
      </c>
      <c r="D29" s="10"/>
      <c r="E29" s="10"/>
      <c r="F29" s="10"/>
      <c r="G29" s="10"/>
      <c r="H29" s="10"/>
      <c r="I29" s="10"/>
      <c r="J29" s="10"/>
      <c r="K29" s="10"/>
      <c r="L29" s="10">
        <v>22</v>
      </c>
      <c r="M29" s="26" t="s">
        <v>65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>
      <c r="A30" s="10"/>
      <c r="B30" s="25">
        <f t="shared" si="1"/>
        <v>14</v>
      </c>
      <c r="C30" s="10" t="s">
        <v>66</v>
      </c>
      <c r="D30" s="10"/>
      <c r="E30" s="10"/>
      <c r="F30" s="10"/>
      <c r="G30" s="10"/>
      <c r="H30" s="10"/>
      <c r="I30" s="10"/>
      <c r="J30" s="10"/>
      <c r="K30" s="10"/>
      <c r="L30" s="10">
        <v>23</v>
      </c>
      <c r="M30" s="26" t="s">
        <v>67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>
      <c r="A31" s="10"/>
      <c r="B31" s="25">
        <f t="shared" si="1"/>
        <v>15</v>
      </c>
      <c r="C31" s="10" t="s">
        <v>68</v>
      </c>
      <c r="D31" s="10"/>
      <c r="E31" s="10"/>
      <c r="F31" s="10"/>
      <c r="G31" s="10"/>
      <c r="H31" s="10"/>
      <c r="I31" s="10"/>
      <c r="J31" s="10"/>
      <c r="K31" s="10"/>
      <c r="L31" s="10">
        <v>24</v>
      </c>
      <c r="M31" s="26" t="s">
        <v>69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>
      <c r="A32" s="10"/>
      <c r="B32" s="25">
        <f t="shared" si="1"/>
        <v>16</v>
      </c>
      <c r="C32" s="10"/>
      <c r="D32" s="10"/>
      <c r="E32" s="10"/>
      <c r="F32" s="10"/>
      <c r="G32" s="10"/>
      <c r="H32" s="10"/>
      <c r="I32" s="10"/>
      <c r="J32" s="10"/>
      <c r="K32" s="10"/>
      <c r="L32" s="10">
        <v>25</v>
      </c>
      <c r="M32" s="26" t="s">
        <v>70</v>
      </c>
      <c r="N32" s="10"/>
    </row>
    <row r="33" spans="1:14">
      <c r="A33" s="10"/>
      <c r="B33" s="25">
        <f t="shared" si="1"/>
        <v>17</v>
      </c>
      <c r="C33" s="10"/>
      <c r="D33" s="10"/>
      <c r="E33" s="10"/>
      <c r="F33" s="10"/>
      <c r="G33" s="10"/>
      <c r="H33" s="10"/>
      <c r="I33" s="10"/>
      <c r="J33" s="10"/>
      <c r="K33" s="10"/>
      <c r="L33" s="10">
        <v>26</v>
      </c>
      <c r="M33" s="26" t="s">
        <v>71</v>
      </c>
      <c r="N33" s="10"/>
    </row>
    <row r="34" spans="1:14">
      <c r="A34" s="10"/>
      <c r="B34" s="25">
        <f t="shared" si="1"/>
        <v>18</v>
      </c>
      <c r="C34" s="10"/>
      <c r="D34" s="10"/>
      <c r="E34" s="10"/>
      <c r="F34" s="10"/>
      <c r="G34" s="10"/>
      <c r="H34" s="10"/>
      <c r="I34" s="10"/>
      <c r="J34" s="10"/>
      <c r="K34" s="10"/>
      <c r="L34" s="10">
        <v>27</v>
      </c>
      <c r="M34" s="26" t="s">
        <v>72</v>
      </c>
      <c r="N34" s="10"/>
    </row>
    <row r="35" spans="1:14">
      <c r="A35" s="10"/>
      <c r="B35" s="25">
        <f t="shared" si="1"/>
        <v>19</v>
      </c>
      <c r="C35" s="10"/>
      <c r="D35" s="10"/>
      <c r="E35" s="10"/>
      <c r="F35" s="10"/>
      <c r="G35" s="10"/>
      <c r="H35" s="10"/>
      <c r="I35" s="10"/>
      <c r="J35" s="10"/>
      <c r="K35" s="10"/>
      <c r="L35" s="10">
        <v>28</v>
      </c>
      <c r="M35" s="26" t="s">
        <v>73</v>
      </c>
      <c r="N35" s="10"/>
    </row>
    <row r="36" spans="1:14">
      <c r="A36" s="10"/>
      <c r="B36" s="25">
        <f t="shared" si="1"/>
        <v>20</v>
      </c>
      <c r="C36" s="10"/>
      <c r="D36" s="10"/>
      <c r="E36" s="10"/>
      <c r="F36" s="10"/>
      <c r="G36" s="10"/>
      <c r="H36" s="10"/>
      <c r="I36" s="10"/>
      <c r="J36" s="10"/>
      <c r="K36" s="10"/>
      <c r="L36" s="10">
        <v>29</v>
      </c>
      <c r="M36" s="26" t="s">
        <v>74</v>
      </c>
      <c r="N36" s="10"/>
    </row>
    <row r="37" spans="1:14">
      <c r="A37" s="10"/>
      <c r="B37" s="25">
        <f t="shared" si="1"/>
        <v>21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26"/>
      <c r="N37" s="10"/>
    </row>
    <row r="38" spans="1:14">
      <c r="A38" s="10"/>
      <c r="B38" s="25">
        <f t="shared" si="1"/>
        <v>22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26"/>
      <c r="N38" s="10"/>
    </row>
    <row r="39" spans="1:14">
      <c r="A39" s="10"/>
      <c r="B39" s="25">
        <f t="shared" si="1"/>
        <v>23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26"/>
      <c r="N39" s="10"/>
    </row>
    <row r="40" spans="1:14" ht="11.4" thickBot="1">
      <c r="A40" s="10"/>
      <c r="B40" s="27">
        <f t="shared" si="1"/>
        <v>24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9"/>
      <c r="N40" s="10"/>
    </row>
    <row r="41" spans="1:14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spans="1:14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spans="1:14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spans="1:1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4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1:14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1:14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1:14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1:14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1:14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</sheetData>
  <printOptions horizontalCentered="1"/>
  <pageMargins left="0.75" right="0.75" top="3.35" bottom="0.2" header="0.28000000000000003" footer="0.26"/>
  <pageSetup orientation="portrait" horizontalDpi="4294967292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5</vt:i4>
      </vt:variant>
    </vt:vector>
  </HeadingPairs>
  <TitlesOfParts>
    <vt:vector size="9" baseType="lpstr">
      <vt:lpstr>ORDEN DE COMPRA</vt:lpstr>
      <vt:lpstr>OC</vt:lpstr>
      <vt:lpstr>CONCEPTOS</vt:lpstr>
      <vt:lpstr>Pesos</vt:lpstr>
      <vt:lpstr>OC!Área_de_impresión</vt:lpstr>
      <vt:lpstr>'ORDEN DE COMPRA'!Área_de_impresión</vt:lpstr>
      <vt:lpstr>Pesos!Área_de_impresión</vt:lpstr>
      <vt:lpstr>Pesos!auxtable</vt:lpstr>
      <vt:lpstr>Pesos!MASTERTABLE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Papeleria Lupita</dc:creator>
  <cp:lastModifiedBy>Jose de Jesus Barroso</cp:lastModifiedBy>
  <cp:lastPrinted>2026-07-03T20:50:45Z</cp:lastPrinted>
  <dcterms:created xsi:type="dcterms:W3CDTF">2023-06-18T01:29:22Z</dcterms:created>
  <dcterms:modified xsi:type="dcterms:W3CDTF">2026-07-03T21:10:34Z</dcterms:modified>
</cp:coreProperties>
</file>